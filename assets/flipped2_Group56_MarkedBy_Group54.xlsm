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3" codeName="{AFA277B2-9F3A-2204-9086-A6A6A873D737}"/>
  <workbookPr codeName="ThisWorkbook"/>
  <mc:AlternateContent xmlns:mc="http://schemas.openxmlformats.org/markup-compatibility/2006">
    <mc:Choice Requires="x15">
      <x15ac:absPath xmlns:x15ac="http://schemas.microsoft.com/office/spreadsheetml/2010/11/ac" url="/Users/zachareakaawan/Desktop/"/>
    </mc:Choice>
  </mc:AlternateContent>
  <xr:revisionPtr revIDLastSave="0" documentId="8_{C4D4F49B-5726-9E47-8FCA-1141FBC2ED5A}" xr6:coauthVersionLast="45" xr6:coauthVersionMax="45" xr10:uidLastSave="{00000000-0000-0000-0000-000000000000}"/>
  <bookViews>
    <workbookView xWindow="0" yWindow="0" windowWidth="28800" windowHeight="18000" activeTab="1" xr2:uid="{00000000-000D-0000-FFFF-FFFF00000000}"/>
  </bookViews>
  <sheets>
    <sheet name="users" sheetId="1" r:id="rId1"/>
    <sheet name="PeerMarking" sheetId="2" r:id="rId2"/>
  </sheets>
  <definedNames>
    <definedName name="_xlnm._FilterDatabase" localSheetId="0" hidden="1">users!$A$2:$A$29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5" i="2" l="1"/>
  <c r="S4" i="2"/>
  <c r="T4" i="2" s="1"/>
  <c r="I101" i="1" l="1"/>
  <c r="I102" i="1"/>
  <c r="I103" i="1"/>
  <c r="I104" i="1"/>
  <c r="I105" i="1"/>
  <c r="I106" i="1"/>
  <c r="I107" i="1"/>
  <c r="I108" i="1"/>
  <c r="I109" i="1"/>
  <c r="I110" i="1"/>
  <c r="I111" i="1"/>
  <c r="I112" i="1"/>
  <c r="I113" i="1"/>
  <c r="I114" i="1"/>
  <c r="I115" i="1"/>
  <c r="I116" i="1"/>
  <c r="I117" i="1"/>
  <c r="I118" i="1"/>
  <c r="I119" i="1"/>
  <c r="K119" i="1" s="1"/>
  <c r="O119" i="1" s="1"/>
  <c r="I120" i="1"/>
  <c r="I121" i="1"/>
  <c r="I122" i="1"/>
  <c r="I123" i="1"/>
  <c r="I124" i="1"/>
  <c r="I125" i="1"/>
  <c r="M125" i="1" s="1"/>
  <c r="Q125" i="1" s="1"/>
  <c r="I126" i="1"/>
  <c r="I127" i="1"/>
  <c r="L127" i="1" s="1"/>
  <c r="P127" i="1" s="1"/>
  <c r="I128" i="1"/>
  <c r="I129" i="1"/>
  <c r="I130" i="1"/>
  <c r="I131" i="1"/>
  <c r="I132" i="1"/>
  <c r="I133" i="1"/>
  <c r="I136" i="1"/>
  <c r="J136" i="1" s="1"/>
  <c r="N136" i="1" s="1"/>
  <c r="I137" i="1"/>
  <c r="I138" i="1"/>
  <c r="K138" i="1" s="1"/>
  <c r="O138" i="1" s="1"/>
  <c r="I139" i="1"/>
  <c r="I140" i="1"/>
  <c r="L140" i="1" s="1"/>
  <c r="P140" i="1" s="1"/>
  <c r="I141" i="1"/>
  <c r="I142" i="1"/>
  <c r="L142" i="1" s="1"/>
  <c r="P142" i="1" s="1"/>
  <c r="I143" i="1"/>
  <c r="I144" i="1"/>
  <c r="M144" i="1" s="1"/>
  <c r="Q144" i="1" s="1"/>
  <c r="I145" i="1"/>
  <c r="I146" i="1"/>
  <c r="K146" i="1" s="1"/>
  <c r="O146" i="1" s="1"/>
  <c r="I147" i="1"/>
  <c r="I148" i="1"/>
  <c r="J148" i="1" s="1"/>
  <c r="N148" i="1" s="1"/>
  <c r="I149" i="1"/>
  <c r="I150" i="1"/>
  <c r="J150" i="1" s="1"/>
  <c r="N150" i="1" s="1"/>
  <c r="I151" i="1"/>
  <c r="I152" i="1"/>
  <c r="L152" i="1" s="1"/>
  <c r="P152" i="1" s="1"/>
  <c r="I153" i="1"/>
  <c r="I154" i="1"/>
  <c r="J154" i="1" s="1"/>
  <c r="N154" i="1" s="1"/>
  <c r="I155" i="1"/>
  <c r="I156" i="1"/>
  <c r="L156" i="1" s="1"/>
  <c r="P156" i="1" s="1"/>
  <c r="I157" i="1"/>
  <c r="I158" i="1"/>
  <c r="L158" i="1" s="1"/>
  <c r="P158" i="1" s="1"/>
  <c r="I159" i="1"/>
  <c r="I160" i="1"/>
  <c r="L160" i="1" s="1"/>
  <c r="P160" i="1" s="1"/>
  <c r="I161" i="1"/>
  <c r="I162" i="1"/>
  <c r="L162" i="1" s="1"/>
  <c r="P162" i="1" s="1"/>
  <c r="I163" i="1"/>
  <c r="I164" i="1"/>
  <c r="L164" i="1" s="1"/>
  <c r="P164" i="1" s="1"/>
  <c r="I165" i="1"/>
  <c r="M165" i="1" s="1"/>
  <c r="Q165" i="1" s="1"/>
  <c r="I166" i="1"/>
  <c r="J166" i="1" s="1"/>
  <c r="N166" i="1" s="1"/>
  <c r="I167" i="1"/>
  <c r="I168" i="1"/>
  <c r="M168" i="1" s="1"/>
  <c r="Q168" i="1" s="1"/>
  <c r="I169" i="1"/>
  <c r="M169" i="1" s="1"/>
  <c r="Q169" i="1" s="1"/>
  <c r="I170" i="1"/>
  <c r="L170" i="1" s="1"/>
  <c r="P170" i="1" s="1"/>
  <c r="I171" i="1"/>
  <c r="I172" i="1"/>
  <c r="J172" i="1" s="1"/>
  <c r="N172" i="1" s="1"/>
  <c r="I173" i="1"/>
  <c r="I174" i="1"/>
  <c r="M174" i="1" s="1"/>
  <c r="Q174" i="1" s="1"/>
  <c r="I175" i="1"/>
  <c r="I176" i="1"/>
  <c r="J176" i="1" s="1"/>
  <c r="N176" i="1" s="1"/>
  <c r="I177" i="1"/>
  <c r="I178" i="1"/>
  <c r="L178" i="1" s="1"/>
  <c r="P178" i="1" s="1"/>
  <c r="I179" i="1"/>
  <c r="I180" i="1"/>
  <c r="J180" i="1" s="1"/>
  <c r="N180" i="1" s="1"/>
  <c r="I181" i="1"/>
  <c r="K181" i="1" s="1"/>
  <c r="O181" i="1" s="1"/>
  <c r="I182" i="1"/>
  <c r="J182" i="1" s="1"/>
  <c r="N182" i="1" s="1"/>
  <c r="I183" i="1"/>
  <c r="I184" i="1"/>
  <c r="J184" i="1" s="1"/>
  <c r="N184" i="1" s="1"/>
  <c r="I185" i="1"/>
  <c r="I186" i="1"/>
  <c r="J186" i="1" s="1"/>
  <c r="N186" i="1" s="1"/>
  <c r="I187" i="1"/>
  <c r="I188" i="1"/>
  <c r="K188" i="1" s="1"/>
  <c r="O188" i="1" s="1"/>
  <c r="I189" i="1"/>
  <c r="I190" i="1"/>
  <c r="I191" i="1"/>
  <c r="I192" i="1"/>
  <c r="L192" i="1" s="1"/>
  <c r="P192" i="1" s="1"/>
  <c r="I193" i="1"/>
  <c r="I194" i="1"/>
  <c r="M194" i="1" s="1"/>
  <c r="Q194" i="1" s="1"/>
  <c r="I195" i="1"/>
  <c r="I196" i="1"/>
  <c r="L196" i="1" s="1"/>
  <c r="P196" i="1" s="1"/>
  <c r="I197" i="1"/>
  <c r="I198" i="1"/>
  <c r="J198" i="1" s="1"/>
  <c r="N198" i="1" s="1"/>
  <c r="I199" i="1"/>
  <c r="I200" i="1"/>
  <c r="J200" i="1" s="1"/>
  <c r="N200" i="1" s="1"/>
  <c r="I201" i="1"/>
  <c r="K201" i="1" s="1"/>
  <c r="O201" i="1" s="1"/>
  <c r="I202" i="1"/>
  <c r="I203" i="1"/>
  <c r="I204" i="1"/>
  <c r="K204" i="1" s="1"/>
  <c r="O204" i="1" s="1"/>
  <c r="I205" i="1"/>
  <c r="J205" i="1" s="1"/>
  <c r="N205" i="1" s="1"/>
  <c r="I206" i="1"/>
  <c r="M206" i="1" s="1"/>
  <c r="Q206" i="1" s="1"/>
  <c r="I207" i="1"/>
  <c r="I208" i="1"/>
  <c r="M208" i="1" s="1"/>
  <c r="Q208" i="1" s="1"/>
  <c r="I209" i="1"/>
  <c r="I210" i="1"/>
  <c r="I211" i="1"/>
  <c r="I212" i="1"/>
  <c r="K212" i="1" s="1"/>
  <c r="O212" i="1" s="1"/>
  <c r="I213" i="1"/>
  <c r="J213" i="1" s="1"/>
  <c r="N213" i="1" s="1"/>
  <c r="I214" i="1"/>
  <c r="L214" i="1" s="1"/>
  <c r="P214" i="1" s="1"/>
  <c r="I215" i="1"/>
  <c r="I216" i="1"/>
  <c r="J216" i="1" s="1"/>
  <c r="N216" i="1" s="1"/>
  <c r="I217" i="1"/>
  <c r="L217" i="1" s="1"/>
  <c r="P217" i="1" s="1"/>
  <c r="I218" i="1"/>
  <c r="I219" i="1"/>
  <c r="I220" i="1"/>
  <c r="K220" i="1" s="1"/>
  <c r="O220" i="1" s="1"/>
  <c r="I221" i="1"/>
  <c r="L221" i="1" s="1"/>
  <c r="P221" i="1" s="1"/>
  <c r="I222" i="1"/>
  <c r="K222" i="1" s="1"/>
  <c r="O222" i="1" s="1"/>
  <c r="I223" i="1"/>
  <c r="I224" i="1"/>
  <c r="J224" i="1" s="1"/>
  <c r="N224" i="1" s="1"/>
  <c r="I225" i="1"/>
  <c r="L225" i="1" s="1"/>
  <c r="P225" i="1" s="1"/>
  <c r="I134" i="1"/>
  <c r="M134" i="1" s="1"/>
  <c r="Q134" i="1" s="1"/>
  <c r="I135" i="1"/>
  <c r="I226" i="1"/>
  <c r="J226" i="1" s="1"/>
  <c r="N226" i="1" s="1"/>
  <c r="I227" i="1"/>
  <c r="L227" i="1" s="1"/>
  <c r="P227" i="1" s="1"/>
  <c r="I228" i="1"/>
  <c r="K228" i="1" s="1"/>
  <c r="O228" i="1" s="1"/>
  <c r="I229" i="1"/>
  <c r="I230" i="1"/>
  <c r="M230" i="1" s="1"/>
  <c r="I231" i="1"/>
  <c r="L231" i="1" s="1"/>
  <c r="P231" i="1" s="1"/>
  <c r="I232" i="1"/>
  <c r="I233" i="1"/>
  <c r="I234" i="1"/>
  <c r="L234" i="1" s="1"/>
  <c r="P234" i="1" s="1"/>
  <c r="I235" i="1"/>
  <c r="L235" i="1" s="1"/>
  <c r="P235" i="1" s="1"/>
  <c r="I236" i="1"/>
  <c r="L236" i="1" s="1"/>
  <c r="P236" i="1" s="1"/>
  <c r="I237" i="1"/>
  <c r="I238" i="1"/>
  <c r="M238" i="1" s="1"/>
  <c r="Q238" i="1" s="1"/>
  <c r="I239" i="1"/>
  <c r="K239" i="1" s="1"/>
  <c r="O239" i="1" s="1"/>
  <c r="I240" i="1"/>
  <c r="I241" i="1"/>
  <c r="I242" i="1"/>
  <c r="K242" i="1" s="1"/>
  <c r="O242" i="1" s="1"/>
  <c r="I243" i="1"/>
  <c r="J243" i="1" s="1"/>
  <c r="N243" i="1" s="1"/>
  <c r="I244" i="1"/>
  <c r="L244" i="1" s="1"/>
  <c r="P244" i="1" s="1"/>
  <c r="I245" i="1"/>
  <c r="I246" i="1"/>
  <c r="J246" i="1" s="1"/>
  <c r="N246" i="1" s="1"/>
  <c r="I247" i="1"/>
  <c r="J247" i="1" s="1"/>
  <c r="N247" i="1" s="1"/>
  <c r="I248" i="1"/>
  <c r="K248" i="1" s="1"/>
  <c r="O248" i="1" s="1"/>
  <c r="I249" i="1"/>
  <c r="I250" i="1"/>
  <c r="M250" i="1" s="1"/>
  <c r="Q250" i="1" s="1"/>
  <c r="I251" i="1"/>
  <c r="L251" i="1" s="1"/>
  <c r="P251" i="1" s="1"/>
  <c r="I252" i="1"/>
  <c r="K252" i="1" s="1"/>
  <c r="O252" i="1" s="1"/>
  <c r="M101" i="1"/>
  <c r="Q101" i="1" s="1"/>
  <c r="J102" i="1"/>
  <c r="K102" i="1"/>
  <c r="O102" i="1" s="1"/>
  <c r="L102" i="1"/>
  <c r="P102" i="1" s="1"/>
  <c r="M102" i="1"/>
  <c r="Q102" i="1" s="1"/>
  <c r="N102" i="1"/>
  <c r="L105" i="1"/>
  <c r="P105" i="1" s="1"/>
  <c r="J106" i="1"/>
  <c r="K106" i="1"/>
  <c r="O106" i="1" s="1"/>
  <c r="L106" i="1"/>
  <c r="P106" i="1" s="1"/>
  <c r="M106" i="1"/>
  <c r="Q106" i="1" s="1"/>
  <c r="N106" i="1"/>
  <c r="J109" i="1"/>
  <c r="N109" i="1"/>
  <c r="J110" i="1"/>
  <c r="K110" i="1"/>
  <c r="L110" i="1"/>
  <c r="M110" i="1"/>
  <c r="Q110" i="1" s="1"/>
  <c r="N110" i="1"/>
  <c r="O110" i="1"/>
  <c r="P110" i="1"/>
  <c r="J113" i="1"/>
  <c r="N113" i="1" s="1"/>
  <c r="J114" i="1"/>
  <c r="N114" i="1" s="1"/>
  <c r="K114" i="1"/>
  <c r="O114" i="1" s="1"/>
  <c r="L114" i="1"/>
  <c r="P114" i="1" s="1"/>
  <c r="M114" i="1"/>
  <c r="Q114" i="1" s="1"/>
  <c r="J115" i="1"/>
  <c r="N115" i="1" s="1"/>
  <c r="K117" i="1"/>
  <c r="O117" i="1" s="1"/>
  <c r="J118" i="1"/>
  <c r="N118" i="1" s="1"/>
  <c r="K118" i="1"/>
  <c r="O118" i="1" s="1"/>
  <c r="L118" i="1"/>
  <c r="P118" i="1" s="1"/>
  <c r="M118" i="1"/>
  <c r="Q118" i="1" s="1"/>
  <c r="K121" i="1"/>
  <c r="O121" i="1" s="1"/>
  <c r="J122" i="1"/>
  <c r="N122" i="1" s="1"/>
  <c r="K122" i="1"/>
  <c r="O122" i="1" s="1"/>
  <c r="L122" i="1"/>
  <c r="P122" i="1" s="1"/>
  <c r="M122" i="1"/>
  <c r="Q122" i="1" s="1"/>
  <c r="J126" i="1"/>
  <c r="N126" i="1" s="1"/>
  <c r="K126" i="1"/>
  <c r="O126" i="1" s="1"/>
  <c r="L126" i="1"/>
  <c r="P126" i="1" s="1"/>
  <c r="M126" i="1"/>
  <c r="Q126" i="1" s="1"/>
  <c r="M127" i="1"/>
  <c r="Q127" i="1" s="1"/>
  <c r="L129" i="1"/>
  <c r="P129" i="1" s="1"/>
  <c r="J130" i="1"/>
  <c r="K130" i="1"/>
  <c r="O130" i="1" s="1"/>
  <c r="L130" i="1"/>
  <c r="P130" i="1" s="1"/>
  <c r="M130" i="1"/>
  <c r="N130" i="1"/>
  <c r="Q130" i="1"/>
  <c r="L133" i="1"/>
  <c r="P133" i="1" s="1"/>
  <c r="J139" i="1"/>
  <c r="K139" i="1"/>
  <c r="L139" i="1"/>
  <c r="P139" i="1" s="1"/>
  <c r="M139" i="1"/>
  <c r="Q139" i="1" s="1"/>
  <c r="N139" i="1"/>
  <c r="O139" i="1"/>
  <c r="J140" i="1"/>
  <c r="N140" i="1" s="1"/>
  <c r="J143" i="1"/>
  <c r="N143" i="1" s="1"/>
  <c r="K143" i="1"/>
  <c r="O143" i="1" s="1"/>
  <c r="L143" i="1"/>
  <c r="M143" i="1"/>
  <c r="Q143" i="1" s="1"/>
  <c r="P143" i="1"/>
  <c r="J147" i="1"/>
  <c r="K147" i="1"/>
  <c r="O147" i="1" s="1"/>
  <c r="L147" i="1"/>
  <c r="P147" i="1" s="1"/>
  <c r="M147" i="1"/>
  <c r="Q147" i="1" s="1"/>
  <c r="N147" i="1"/>
  <c r="J151" i="1"/>
  <c r="N151" i="1" s="1"/>
  <c r="K151" i="1"/>
  <c r="O151" i="1" s="1"/>
  <c r="L151" i="1"/>
  <c r="P151" i="1" s="1"/>
  <c r="M151" i="1"/>
  <c r="Q151" i="1" s="1"/>
  <c r="K152" i="1"/>
  <c r="O152" i="1" s="1"/>
  <c r="J155" i="1"/>
  <c r="N155" i="1" s="1"/>
  <c r="K155" i="1"/>
  <c r="O155" i="1" s="1"/>
  <c r="L155" i="1"/>
  <c r="P155" i="1" s="1"/>
  <c r="M155" i="1"/>
  <c r="Q155" i="1" s="1"/>
  <c r="J159" i="1"/>
  <c r="N159" i="1" s="1"/>
  <c r="K159" i="1"/>
  <c r="O159" i="1" s="1"/>
  <c r="L159" i="1"/>
  <c r="P159" i="1" s="1"/>
  <c r="M159" i="1"/>
  <c r="Q159" i="1" s="1"/>
  <c r="J163" i="1"/>
  <c r="N163" i="1" s="1"/>
  <c r="K163" i="1"/>
  <c r="O163" i="1" s="1"/>
  <c r="L163" i="1"/>
  <c r="P163" i="1" s="1"/>
  <c r="M163" i="1"/>
  <c r="Q163" i="1" s="1"/>
  <c r="J167" i="1"/>
  <c r="K167" i="1"/>
  <c r="O167" i="1" s="1"/>
  <c r="L167" i="1"/>
  <c r="P167" i="1" s="1"/>
  <c r="M167" i="1"/>
  <c r="Q167" i="1" s="1"/>
  <c r="N167" i="1"/>
  <c r="J171" i="1"/>
  <c r="N171" i="1" s="1"/>
  <c r="K171" i="1"/>
  <c r="O171" i="1" s="1"/>
  <c r="L171" i="1"/>
  <c r="P171" i="1" s="1"/>
  <c r="M171" i="1"/>
  <c r="Q171" i="1" s="1"/>
  <c r="M172" i="1"/>
  <c r="Q172" i="1" s="1"/>
  <c r="M173" i="1"/>
  <c r="Q173" i="1" s="1"/>
  <c r="J175" i="1"/>
  <c r="N175" i="1" s="1"/>
  <c r="K175" i="1"/>
  <c r="O175" i="1" s="1"/>
  <c r="L175" i="1"/>
  <c r="M175" i="1"/>
  <c r="Q175" i="1" s="1"/>
  <c r="P175" i="1"/>
  <c r="J179" i="1"/>
  <c r="N179" i="1" s="1"/>
  <c r="K179" i="1"/>
  <c r="O179" i="1" s="1"/>
  <c r="L179" i="1"/>
  <c r="P179" i="1" s="1"/>
  <c r="M179" i="1"/>
  <c r="Q179" i="1" s="1"/>
  <c r="J183" i="1"/>
  <c r="N183" i="1" s="1"/>
  <c r="K183" i="1"/>
  <c r="O183" i="1" s="1"/>
  <c r="L183" i="1"/>
  <c r="P183" i="1" s="1"/>
  <c r="M183" i="1"/>
  <c r="Q183" i="1" s="1"/>
  <c r="J187" i="1"/>
  <c r="N187" i="1" s="1"/>
  <c r="K187" i="1"/>
  <c r="O187" i="1" s="1"/>
  <c r="L187" i="1"/>
  <c r="P187" i="1" s="1"/>
  <c r="M187" i="1"/>
  <c r="Q187" i="1" s="1"/>
  <c r="J191" i="1"/>
  <c r="N191" i="1" s="1"/>
  <c r="K191" i="1"/>
  <c r="O191" i="1" s="1"/>
  <c r="L191" i="1"/>
  <c r="P191" i="1" s="1"/>
  <c r="M191" i="1"/>
  <c r="Q191" i="1" s="1"/>
  <c r="J195" i="1"/>
  <c r="N195" i="1" s="1"/>
  <c r="K195" i="1"/>
  <c r="O195" i="1" s="1"/>
  <c r="L195" i="1"/>
  <c r="P195" i="1" s="1"/>
  <c r="M195" i="1"/>
  <c r="Q195" i="1" s="1"/>
  <c r="J199" i="1"/>
  <c r="N199" i="1" s="1"/>
  <c r="K199" i="1"/>
  <c r="O199" i="1" s="1"/>
  <c r="L199" i="1"/>
  <c r="P199" i="1" s="1"/>
  <c r="M199" i="1"/>
  <c r="Q199" i="1" s="1"/>
  <c r="M200" i="1"/>
  <c r="Q200" i="1" s="1"/>
  <c r="J203" i="1"/>
  <c r="N203" i="1" s="1"/>
  <c r="K203" i="1"/>
  <c r="O203" i="1" s="1"/>
  <c r="L203" i="1"/>
  <c r="P203" i="1" s="1"/>
  <c r="M203" i="1"/>
  <c r="Q203" i="1" s="1"/>
  <c r="J207" i="1"/>
  <c r="N207" i="1" s="1"/>
  <c r="K207" i="1"/>
  <c r="O207" i="1" s="1"/>
  <c r="L207" i="1"/>
  <c r="P207" i="1" s="1"/>
  <c r="M207" i="1"/>
  <c r="Q207" i="1" s="1"/>
  <c r="J211" i="1"/>
  <c r="N211" i="1" s="1"/>
  <c r="K211" i="1"/>
  <c r="O211" i="1" s="1"/>
  <c r="L211" i="1"/>
  <c r="P211" i="1" s="1"/>
  <c r="M211" i="1"/>
  <c r="Q211" i="1" s="1"/>
  <c r="J215" i="1"/>
  <c r="N215" i="1" s="1"/>
  <c r="K215" i="1"/>
  <c r="L215" i="1"/>
  <c r="P215" i="1" s="1"/>
  <c r="M215" i="1"/>
  <c r="Q215" i="1" s="1"/>
  <c r="O215" i="1"/>
  <c r="J219" i="1"/>
  <c r="N219" i="1" s="1"/>
  <c r="K219" i="1"/>
  <c r="O219" i="1" s="1"/>
  <c r="L219" i="1"/>
  <c r="P219" i="1" s="1"/>
  <c r="M219" i="1"/>
  <c r="Q219" i="1" s="1"/>
  <c r="J223" i="1"/>
  <c r="K223" i="1"/>
  <c r="O223" i="1" s="1"/>
  <c r="L223" i="1"/>
  <c r="P223" i="1" s="1"/>
  <c r="M223" i="1"/>
  <c r="Q223" i="1" s="1"/>
  <c r="N223" i="1"/>
  <c r="J135" i="1"/>
  <c r="N135" i="1" s="1"/>
  <c r="K135" i="1"/>
  <c r="O135" i="1" s="1"/>
  <c r="L135" i="1"/>
  <c r="P135" i="1" s="1"/>
  <c r="M135" i="1"/>
  <c r="Q135" i="1" s="1"/>
  <c r="M226" i="1"/>
  <c r="Q226" i="1" s="1"/>
  <c r="L228" i="1"/>
  <c r="P228" i="1" s="1"/>
  <c r="J229" i="1"/>
  <c r="K229" i="1"/>
  <c r="O229" i="1" s="1"/>
  <c r="L229" i="1"/>
  <c r="P229" i="1" s="1"/>
  <c r="M229" i="1"/>
  <c r="Q229" i="1" s="1"/>
  <c r="N229" i="1"/>
  <c r="Q230" i="1"/>
  <c r="K231" i="1"/>
  <c r="O231" i="1" s="1"/>
  <c r="L232" i="1"/>
  <c r="P232" i="1" s="1"/>
  <c r="J233" i="1"/>
  <c r="N233" i="1" s="1"/>
  <c r="K233" i="1"/>
  <c r="O233" i="1" s="1"/>
  <c r="L233" i="1"/>
  <c r="P233" i="1" s="1"/>
  <c r="M233" i="1"/>
  <c r="Q233" i="1" s="1"/>
  <c r="J237" i="1"/>
  <c r="N237" i="1" s="1"/>
  <c r="K237" i="1"/>
  <c r="O237" i="1" s="1"/>
  <c r="L237" i="1"/>
  <c r="P237" i="1" s="1"/>
  <c r="M237" i="1"/>
  <c r="Q237" i="1" s="1"/>
  <c r="J241" i="1"/>
  <c r="N241" i="1" s="1"/>
  <c r="K241" i="1"/>
  <c r="O241" i="1" s="1"/>
  <c r="L241" i="1"/>
  <c r="P241" i="1" s="1"/>
  <c r="M241" i="1"/>
  <c r="Q241" i="1" s="1"/>
  <c r="J245" i="1"/>
  <c r="N245" i="1" s="1"/>
  <c r="K245" i="1"/>
  <c r="O245" i="1" s="1"/>
  <c r="L245" i="1"/>
  <c r="P245" i="1" s="1"/>
  <c r="M245" i="1"/>
  <c r="Q245" i="1" s="1"/>
  <c r="J249" i="1"/>
  <c r="N249" i="1" s="1"/>
  <c r="K249" i="1"/>
  <c r="O249" i="1" s="1"/>
  <c r="L249" i="1"/>
  <c r="P249" i="1" s="1"/>
  <c r="M249" i="1"/>
  <c r="Q249" i="1" s="1"/>
  <c r="J253" i="1"/>
  <c r="N253" i="1" s="1"/>
  <c r="K253" i="1"/>
  <c r="O253" i="1" s="1"/>
  <c r="L253" i="1"/>
  <c r="P253" i="1" s="1"/>
  <c r="M253" i="1"/>
  <c r="Q253" i="1" s="1"/>
  <c r="J222" i="1" l="1"/>
  <c r="N222" i="1" s="1"/>
  <c r="M248" i="1"/>
  <c r="Q248" i="1" s="1"/>
  <c r="J248" i="1"/>
  <c r="N248" i="1" s="1"/>
  <c r="M240" i="1"/>
  <c r="Q240" i="1" s="1"/>
  <c r="J240" i="1"/>
  <c r="N240" i="1" s="1"/>
  <c r="J232" i="1"/>
  <c r="N232" i="1" s="1"/>
  <c r="K232" i="1"/>
  <c r="O232" i="1" s="1"/>
  <c r="J134" i="1"/>
  <c r="N134" i="1" s="1"/>
  <c r="K134" i="1"/>
  <c r="O134" i="1" s="1"/>
  <c r="M218" i="1"/>
  <c r="Q218" i="1" s="1"/>
  <c r="J218" i="1"/>
  <c r="N218" i="1" s="1"/>
  <c r="L210" i="1"/>
  <c r="P210" i="1" s="1"/>
  <c r="J210" i="1"/>
  <c r="N210" i="1" s="1"/>
  <c r="M210" i="1"/>
  <c r="Q210" i="1" s="1"/>
  <c r="K202" i="1"/>
  <c r="O202" i="1" s="1"/>
  <c r="M202" i="1"/>
  <c r="Q202" i="1" s="1"/>
  <c r="L202" i="1"/>
  <c r="P202" i="1" s="1"/>
  <c r="J190" i="1"/>
  <c r="N190" i="1" s="1"/>
  <c r="K190" i="1"/>
  <c r="O190" i="1" s="1"/>
  <c r="L190" i="1"/>
  <c r="P190" i="1" s="1"/>
  <c r="L252" i="1"/>
  <c r="P252" i="1" s="1"/>
  <c r="M244" i="1"/>
  <c r="Q244" i="1" s="1"/>
  <c r="L240" i="1"/>
  <c r="P240" i="1" s="1"/>
  <c r="M236" i="1"/>
  <c r="Q236" i="1" s="1"/>
  <c r="L134" i="1"/>
  <c r="P134" i="1" s="1"/>
  <c r="L218" i="1"/>
  <c r="P218" i="1" s="1"/>
  <c r="K240" i="1"/>
  <c r="O240" i="1" s="1"/>
  <c r="K218" i="1"/>
  <c r="O218" i="1" s="1"/>
  <c r="J202" i="1"/>
  <c r="N202" i="1" s="1"/>
  <c r="M190" i="1"/>
  <c r="Q190" i="1" s="1"/>
  <c r="L248" i="1"/>
  <c r="P248" i="1" s="1"/>
  <c r="M232" i="1"/>
  <c r="Q232" i="1" s="1"/>
  <c r="K210" i="1"/>
  <c r="O210" i="1" s="1"/>
  <c r="M252" i="1"/>
  <c r="Q252" i="1" s="1"/>
  <c r="J252" i="1"/>
  <c r="N252" i="1" s="1"/>
  <c r="J244" i="1"/>
  <c r="N244" i="1" s="1"/>
  <c r="K244" i="1"/>
  <c r="O244" i="1" s="1"/>
  <c r="J236" i="1"/>
  <c r="N236" i="1" s="1"/>
  <c r="K236" i="1"/>
  <c r="O236" i="1" s="1"/>
  <c r="M228" i="1"/>
  <c r="Q228" i="1" s="1"/>
  <c r="J228" i="1"/>
  <c r="N228" i="1" s="1"/>
  <c r="L222" i="1"/>
  <c r="P222" i="1" s="1"/>
  <c r="M222" i="1"/>
  <c r="Q222" i="1" s="1"/>
  <c r="M214" i="1"/>
  <c r="Q214" i="1" s="1"/>
  <c r="J214" i="1"/>
  <c r="N214" i="1" s="1"/>
  <c r="K214" i="1"/>
  <c r="O214" i="1" s="1"/>
  <c r="J206" i="1"/>
  <c r="N206" i="1" s="1"/>
  <c r="K206" i="1"/>
  <c r="O206" i="1" s="1"/>
  <c r="L206" i="1"/>
  <c r="P206" i="1" s="1"/>
  <c r="K198" i="1"/>
  <c r="O198" i="1" s="1"/>
  <c r="M198" i="1"/>
  <c r="Q198" i="1" s="1"/>
  <c r="L198" i="1"/>
  <c r="P198" i="1" s="1"/>
  <c r="J194" i="1"/>
  <c r="N194" i="1" s="1"/>
  <c r="L194" i="1"/>
  <c r="P194" i="1" s="1"/>
  <c r="K194" i="1"/>
  <c r="O194" i="1" s="1"/>
  <c r="K186" i="1"/>
  <c r="O186" i="1" s="1"/>
  <c r="M186" i="1"/>
  <c r="Q186" i="1" s="1"/>
  <c r="L186" i="1"/>
  <c r="P186" i="1" s="1"/>
  <c r="K182" i="1"/>
  <c r="O182" i="1" s="1"/>
  <c r="M182" i="1"/>
  <c r="Q182" i="1" s="1"/>
  <c r="L182" i="1"/>
  <c r="P182" i="1" s="1"/>
  <c r="M178" i="1"/>
  <c r="Q178" i="1" s="1"/>
  <c r="K178" i="1"/>
  <c r="O178" i="1" s="1"/>
  <c r="J178" i="1"/>
  <c r="N178" i="1" s="1"/>
  <c r="J174" i="1"/>
  <c r="N174" i="1" s="1"/>
  <c r="K174" i="1"/>
  <c r="O174" i="1" s="1"/>
  <c r="L174" i="1"/>
  <c r="P174" i="1" s="1"/>
  <c r="M170" i="1"/>
  <c r="Q170" i="1" s="1"/>
  <c r="J170" i="1"/>
  <c r="N170" i="1" s="1"/>
  <c r="K170" i="1"/>
  <c r="O170" i="1" s="1"/>
  <c r="K166" i="1"/>
  <c r="O166" i="1" s="1"/>
  <c r="M166" i="1"/>
  <c r="Q166" i="1" s="1"/>
  <c r="L166" i="1"/>
  <c r="P166" i="1" s="1"/>
  <c r="M162" i="1"/>
  <c r="Q162" i="1" s="1"/>
  <c r="J162" i="1"/>
  <c r="N162" i="1" s="1"/>
  <c r="K162" i="1"/>
  <c r="O162" i="1" s="1"/>
  <c r="M158" i="1"/>
  <c r="Q158" i="1" s="1"/>
  <c r="K158" i="1"/>
  <c r="O158" i="1" s="1"/>
  <c r="J158" i="1"/>
  <c r="N158" i="1" s="1"/>
  <c r="K154" i="1"/>
  <c r="O154" i="1" s="1"/>
  <c r="M154" i="1"/>
  <c r="Q154" i="1" s="1"/>
  <c r="L154" i="1"/>
  <c r="P154" i="1" s="1"/>
  <c r="K150" i="1"/>
  <c r="O150" i="1" s="1"/>
  <c r="L150" i="1"/>
  <c r="P150" i="1" s="1"/>
  <c r="M150" i="1"/>
  <c r="Q150" i="1" s="1"/>
  <c r="L146" i="1"/>
  <c r="P146" i="1" s="1"/>
  <c r="J146" i="1"/>
  <c r="N146" i="1" s="1"/>
  <c r="M146" i="1"/>
  <c r="Q146" i="1" s="1"/>
  <c r="K142" i="1"/>
  <c r="O142" i="1" s="1"/>
  <c r="M142" i="1"/>
  <c r="Q142" i="1" s="1"/>
  <c r="J142" i="1"/>
  <c r="N142" i="1" s="1"/>
  <c r="J138" i="1"/>
  <c r="N138" i="1" s="1"/>
  <c r="L138" i="1"/>
  <c r="P138" i="1" s="1"/>
  <c r="M138" i="1"/>
  <c r="Q138" i="1" s="1"/>
  <c r="M133" i="1"/>
  <c r="Q133" i="1" s="1"/>
  <c r="J133" i="1"/>
  <c r="N133" i="1" s="1"/>
  <c r="K133" i="1"/>
  <c r="O133" i="1" s="1"/>
  <c r="J129" i="1"/>
  <c r="N129" i="1" s="1"/>
  <c r="M129" i="1"/>
  <c r="Q129" i="1" s="1"/>
  <c r="K129" i="1"/>
  <c r="O129" i="1" s="1"/>
  <c r="K125" i="1"/>
  <c r="O125" i="1" s="1"/>
  <c r="L125" i="1"/>
  <c r="P125" i="1" s="1"/>
  <c r="J125" i="1"/>
  <c r="N125" i="1" s="1"/>
  <c r="J121" i="1"/>
  <c r="N121" i="1" s="1"/>
  <c r="L121" i="1"/>
  <c r="P121" i="1" s="1"/>
  <c r="M121" i="1"/>
  <c r="Q121" i="1" s="1"/>
  <c r="L117" i="1"/>
  <c r="P117" i="1" s="1"/>
  <c r="M117" i="1"/>
  <c r="Q117" i="1" s="1"/>
  <c r="R117" i="1" s="1"/>
  <c r="J117" i="1"/>
  <c r="N117" i="1" s="1"/>
  <c r="K113" i="1"/>
  <c r="O113" i="1" s="1"/>
  <c r="L113" i="1"/>
  <c r="P113" i="1" s="1"/>
  <c r="M113" i="1"/>
  <c r="Q113" i="1" s="1"/>
  <c r="R113" i="1" s="1"/>
  <c r="K109" i="1"/>
  <c r="O109" i="1" s="1"/>
  <c r="L109" i="1"/>
  <c r="P109" i="1" s="1"/>
  <c r="M109" i="1"/>
  <c r="Q109" i="1" s="1"/>
  <c r="M105" i="1"/>
  <c r="Q105" i="1" s="1"/>
  <c r="J105" i="1"/>
  <c r="N105" i="1" s="1"/>
  <c r="K105" i="1"/>
  <c r="O105" i="1" s="1"/>
  <c r="J101" i="1"/>
  <c r="N101" i="1" s="1"/>
  <c r="K101" i="1"/>
  <c r="O101" i="1" s="1"/>
  <c r="L101" i="1"/>
  <c r="P101" i="1" s="1"/>
  <c r="J239" i="1"/>
  <c r="N239" i="1" s="1"/>
  <c r="K227" i="1"/>
  <c r="O227" i="1" s="1"/>
  <c r="K247" i="1"/>
  <c r="O247" i="1" s="1"/>
  <c r="M243" i="1"/>
  <c r="Q243" i="1" s="1"/>
  <c r="K235" i="1"/>
  <c r="O235" i="1" s="1"/>
  <c r="J221" i="1"/>
  <c r="N221" i="1" s="1"/>
  <c r="K251" i="1"/>
  <c r="O251" i="1" s="1"/>
  <c r="L230" i="1"/>
  <c r="P230" i="1" s="1"/>
  <c r="J220" i="1"/>
  <c r="N220" i="1" s="1"/>
  <c r="L208" i="1"/>
  <c r="P208" i="1" s="1"/>
  <c r="J204" i="1"/>
  <c r="N204" i="1" s="1"/>
  <c r="M184" i="1"/>
  <c r="Q184" i="1" s="1"/>
  <c r="K160" i="1"/>
  <c r="O160" i="1" s="1"/>
  <c r="K136" i="1"/>
  <c r="O136" i="1" s="1"/>
  <c r="L131" i="1"/>
  <c r="P131" i="1" s="1"/>
  <c r="J131" i="1"/>
  <c r="N131" i="1" s="1"/>
  <c r="M246" i="1"/>
  <c r="Q246" i="1" s="1"/>
  <c r="M224" i="1"/>
  <c r="Q224" i="1" s="1"/>
  <c r="J212" i="1"/>
  <c r="N212" i="1" s="1"/>
  <c r="K192" i="1"/>
  <c r="O192" i="1" s="1"/>
  <c r="J188" i="1"/>
  <c r="N188" i="1" s="1"/>
  <c r="M180" i="1"/>
  <c r="Q180" i="1" s="1"/>
  <c r="L250" i="1"/>
  <c r="P250" i="1" s="1"/>
  <c r="J242" i="1"/>
  <c r="N242" i="1" s="1"/>
  <c r="L238" i="1"/>
  <c r="P238" i="1" s="1"/>
  <c r="K234" i="1"/>
  <c r="O234" i="1" s="1"/>
  <c r="M216" i="1"/>
  <c r="Q216" i="1" s="1"/>
  <c r="K196" i="1"/>
  <c r="O196" i="1" s="1"/>
  <c r="K176" i="1"/>
  <c r="O176" i="1" s="1"/>
  <c r="L148" i="1"/>
  <c r="P148" i="1" s="1"/>
  <c r="M123" i="1"/>
  <c r="Q123" i="1" s="1"/>
  <c r="J123" i="1"/>
  <c r="N123" i="1" s="1"/>
  <c r="J111" i="1"/>
  <c r="N111" i="1" s="1"/>
  <c r="K111" i="1"/>
  <c r="O111" i="1" s="1"/>
  <c r="M103" i="1"/>
  <c r="Q103" i="1" s="1"/>
  <c r="J103" i="1"/>
  <c r="N103" i="1" s="1"/>
  <c r="K250" i="1"/>
  <c r="O250" i="1" s="1"/>
  <c r="L246" i="1"/>
  <c r="P246" i="1" s="1"/>
  <c r="M242" i="1"/>
  <c r="Q242" i="1" s="1"/>
  <c r="K238" i="1"/>
  <c r="O238" i="1" s="1"/>
  <c r="J234" i="1"/>
  <c r="N234" i="1" s="1"/>
  <c r="K230" i="1"/>
  <c r="O230" i="1" s="1"/>
  <c r="L226" i="1"/>
  <c r="P226" i="1" s="1"/>
  <c r="L224" i="1"/>
  <c r="P224" i="1" s="1"/>
  <c r="M220" i="1"/>
  <c r="Q220" i="1" s="1"/>
  <c r="L216" i="1"/>
  <c r="P216" i="1" s="1"/>
  <c r="M212" i="1"/>
  <c r="Q212" i="1" s="1"/>
  <c r="K208" i="1"/>
  <c r="O208" i="1" s="1"/>
  <c r="M204" i="1"/>
  <c r="Q204" i="1" s="1"/>
  <c r="L200" i="1"/>
  <c r="P200" i="1" s="1"/>
  <c r="J196" i="1"/>
  <c r="N196" i="1" s="1"/>
  <c r="J192" i="1"/>
  <c r="N192" i="1" s="1"/>
  <c r="M188" i="1"/>
  <c r="Q188" i="1" s="1"/>
  <c r="L184" i="1"/>
  <c r="P184" i="1" s="1"/>
  <c r="L180" i="1"/>
  <c r="P180" i="1" s="1"/>
  <c r="L172" i="1"/>
  <c r="P172" i="1" s="1"/>
  <c r="L168" i="1"/>
  <c r="P168" i="1" s="1"/>
  <c r="M164" i="1"/>
  <c r="Q164" i="1" s="1"/>
  <c r="J160" i="1"/>
  <c r="N160" i="1" s="1"/>
  <c r="M156" i="1"/>
  <c r="Q156" i="1" s="1"/>
  <c r="J152" i="1"/>
  <c r="N152" i="1" s="1"/>
  <c r="K148" i="1"/>
  <c r="O148" i="1" s="1"/>
  <c r="L144" i="1"/>
  <c r="P144" i="1" s="1"/>
  <c r="K127" i="1"/>
  <c r="O127" i="1" s="1"/>
  <c r="R110" i="1"/>
  <c r="L103" i="1"/>
  <c r="P103" i="1" s="1"/>
  <c r="L119" i="1"/>
  <c r="P119" i="1" s="1"/>
  <c r="M119" i="1"/>
  <c r="Q119" i="1" s="1"/>
  <c r="J107" i="1"/>
  <c r="N107" i="1" s="1"/>
  <c r="K107" i="1"/>
  <c r="O107" i="1" s="1"/>
  <c r="J250" i="1"/>
  <c r="N250" i="1" s="1"/>
  <c r="K246" i="1"/>
  <c r="O246" i="1" s="1"/>
  <c r="L242" i="1"/>
  <c r="P242" i="1" s="1"/>
  <c r="J238" i="1"/>
  <c r="N238" i="1" s="1"/>
  <c r="M234" i="1"/>
  <c r="Q234" i="1" s="1"/>
  <c r="J230" i="1"/>
  <c r="N230" i="1" s="1"/>
  <c r="K226" i="1"/>
  <c r="O226" i="1" s="1"/>
  <c r="K224" i="1"/>
  <c r="O224" i="1" s="1"/>
  <c r="L220" i="1"/>
  <c r="P220" i="1" s="1"/>
  <c r="R220" i="1" s="1"/>
  <c r="K216" i="1"/>
  <c r="O216" i="1" s="1"/>
  <c r="L212" i="1"/>
  <c r="P212" i="1" s="1"/>
  <c r="J208" i="1"/>
  <c r="N208" i="1" s="1"/>
  <c r="L204" i="1"/>
  <c r="P204" i="1" s="1"/>
  <c r="K200" i="1"/>
  <c r="O200" i="1" s="1"/>
  <c r="M196" i="1"/>
  <c r="Q196" i="1" s="1"/>
  <c r="M192" i="1"/>
  <c r="Q192" i="1" s="1"/>
  <c r="R191" i="1"/>
  <c r="L188" i="1"/>
  <c r="P188" i="1" s="1"/>
  <c r="K184" i="1"/>
  <c r="O184" i="1" s="1"/>
  <c r="K180" i="1"/>
  <c r="O180" i="1" s="1"/>
  <c r="M176" i="1"/>
  <c r="Q176" i="1" s="1"/>
  <c r="R175" i="1"/>
  <c r="K172" i="1"/>
  <c r="O172" i="1" s="1"/>
  <c r="K168" i="1"/>
  <c r="O168" i="1" s="1"/>
  <c r="K164" i="1"/>
  <c r="O164" i="1" s="1"/>
  <c r="K156" i="1"/>
  <c r="O156" i="1" s="1"/>
  <c r="K144" i="1"/>
  <c r="O144" i="1" s="1"/>
  <c r="M140" i="1"/>
  <c r="Q140" i="1" s="1"/>
  <c r="M136" i="1"/>
  <c r="Q136" i="1" s="1"/>
  <c r="M131" i="1"/>
  <c r="Q131" i="1" s="1"/>
  <c r="J127" i="1"/>
  <c r="N127" i="1" s="1"/>
  <c r="L123" i="1"/>
  <c r="P123" i="1" s="1"/>
  <c r="J119" i="1"/>
  <c r="N119" i="1" s="1"/>
  <c r="M111" i="1"/>
  <c r="Q111" i="1" s="1"/>
  <c r="M107" i="1"/>
  <c r="Q107" i="1" s="1"/>
  <c r="K103" i="1"/>
  <c r="O103" i="1" s="1"/>
  <c r="K115" i="1"/>
  <c r="O115" i="1" s="1"/>
  <c r="L115" i="1"/>
  <c r="P115" i="1" s="1"/>
  <c r="L176" i="1"/>
  <c r="P176" i="1" s="1"/>
  <c r="J168" i="1"/>
  <c r="N168" i="1" s="1"/>
  <c r="J164" i="1"/>
  <c r="N164" i="1" s="1"/>
  <c r="M160" i="1"/>
  <c r="Q160" i="1" s="1"/>
  <c r="J156" i="1"/>
  <c r="N156" i="1" s="1"/>
  <c r="M152" i="1"/>
  <c r="Q152" i="1" s="1"/>
  <c r="M148" i="1"/>
  <c r="Q148" i="1" s="1"/>
  <c r="R147" i="1"/>
  <c r="J144" i="1"/>
  <c r="N144" i="1" s="1"/>
  <c r="K140" i="1"/>
  <c r="O140" i="1" s="1"/>
  <c r="L136" i="1"/>
  <c r="P136" i="1" s="1"/>
  <c r="K131" i="1"/>
  <c r="O131" i="1" s="1"/>
  <c r="K123" i="1"/>
  <c r="O123" i="1" s="1"/>
  <c r="M115" i="1"/>
  <c r="Q115" i="1" s="1"/>
  <c r="L111" i="1"/>
  <c r="P111" i="1" s="1"/>
  <c r="R111" i="1" s="1"/>
  <c r="L107" i="1"/>
  <c r="P107" i="1" s="1"/>
  <c r="K217" i="1"/>
  <c r="O217" i="1" s="1"/>
  <c r="M217" i="1"/>
  <c r="Q217" i="1" s="1"/>
  <c r="K205" i="1"/>
  <c r="O205" i="1" s="1"/>
  <c r="M205" i="1"/>
  <c r="Q205" i="1" s="1"/>
  <c r="K193" i="1"/>
  <c r="O193" i="1" s="1"/>
  <c r="M193" i="1"/>
  <c r="Q193" i="1" s="1"/>
  <c r="L189" i="1"/>
  <c r="P189" i="1" s="1"/>
  <c r="J189" i="1"/>
  <c r="N189" i="1" s="1"/>
  <c r="M177" i="1"/>
  <c r="Q177" i="1" s="1"/>
  <c r="J177" i="1"/>
  <c r="N177" i="1" s="1"/>
  <c r="K177" i="1"/>
  <c r="O177" i="1" s="1"/>
  <c r="J173" i="1"/>
  <c r="N173" i="1" s="1"/>
  <c r="K173" i="1"/>
  <c r="O173" i="1" s="1"/>
  <c r="L173" i="1"/>
  <c r="P173" i="1" s="1"/>
  <c r="K161" i="1"/>
  <c r="O161" i="1" s="1"/>
  <c r="L161" i="1"/>
  <c r="P161" i="1" s="1"/>
  <c r="M161" i="1"/>
  <c r="Q161" i="1" s="1"/>
  <c r="L157" i="1"/>
  <c r="P157" i="1" s="1"/>
  <c r="M157" i="1"/>
  <c r="Q157" i="1" s="1"/>
  <c r="J157" i="1"/>
  <c r="N157" i="1" s="1"/>
  <c r="M153" i="1"/>
  <c r="Q153" i="1" s="1"/>
  <c r="J153" i="1"/>
  <c r="N153" i="1" s="1"/>
  <c r="K153" i="1"/>
  <c r="O153" i="1" s="1"/>
  <c r="M149" i="1"/>
  <c r="Q149" i="1" s="1"/>
  <c r="J149" i="1"/>
  <c r="N149" i="1" s="1"/>
  <c r="K149" i="1"/>
  <c r="O149" i="1" s="1"/>
  <c r="J145" i="1"/>
  <c r="N145" i="1" s="1"/>
  <c r="K145" i="1"/>
  <c r="O145" i="1" s="1"/>
  <c r="L145" i="1"/>
  <c r="P145" i="1" s="1"/>
  <c r="K141" i="1"/>
  <c r="O141" i="1" s="1"/>
  <c r="L141" i="1"/>
  <c r="P141" i="1" s="1"/>
  <c r="M141" i="1"/>
  <c r="Q141" i="1" s="1"/>
  <c r="K137" i="1"/>
  <c r="O137" i="1" s="1"/>
  <c r="L137" i="1"/>
  <c r="P137" i="1" s="1"/>
  <c r="M137" i="1"/>
  <c r="Q137" i="1" s="1"/>
  <c r="L132" i="1"/>
  <c r="P132" i="1" s="1"/>
  <c r="J132" i="1"/>
  <c r="N132" i="1" s="1"/>
  <c r="K132" i="1"/>
  <c r="O132" i="1" s="1"/>
  <c r="M128" i="1"/>
  <c r="Q128" i="1" s="1"/>
  <c r="L128" i="1"/>
  <c r="P128" i="1" s="1"/>
  <c r="J128" i="1"/>
  <c r="N128" i="1" s="1"/>
  <c r="J124" i="1"/>
  <c r="N124" i="1" s="1"/>
  <c r="K124" i="1"/>
  <c r="O124" i="1" s="1"/>
  <c r="L124" i="1"/>
  <c r="P124" i="1" s="1"/>
  <c r="M124" i="1"/>
  <c r="Q124" i="1" s="1"/>
  <c r="J120" i="1"/>
  <c r="N120" i="1" s="1"/>
  <c r="L120" i="1"/>
  <c r="P120" i="1" s="1"/>
  <c r="M120" i="1"/>
  <c r="Q120" i="1" s="1"/>
  <c r="M116" i="1"/>
  <c r="Q116" i="1" s="1"/>
  <c r="J116" i="1"/>
  <c r="N116" i="1" s="1"/>
  <c r="K116" i="1"/>
  <c r="O116" i="1" s="1"/>
  <c r="L116" i="1"/>
  <c r="P116" i="1" s="1"/>
  <c r="M112" i="1"/>
  <c r="Q112" i="1" s="1"/>
  <c r="J112" i="1"/>
  <c r="N112" i="1" s="1"/>
  <c r="K112" i="1"/>
  <c r="O112" i="1" s="1"/>
  <c r="J108" i="1"/>
  <c r="N108" i="1" s="1"/>
  <c r="K108" i="1"/>
  <c r="O108" i="1" s="1"/>
  <c r="L108" i="1"/>
  <c r="P108" i="1" s="1"/>
  <c r="M108" i="1"/>
  <c r="Q108" i="1" s="1"/>
  <c r="J104" i="1"/>
  <c r="N104" i="1" s="1"/>
  <c r="K104" i="1"/>
  <c r="O104" i="1" s="1"/>
  <c r="L104" i="1"/>
  <c r="P104" i="1" s="1"/>
  <c r="M104" i="1"/>
  <c r="Q104" i="1" s="1"/>
  <c r="J251" i="1"/>
  <c r="N251" i="1" s="1"/>
  <c r="M247" i="1"/>
  <c r="Q247" i="1" s="1"/>
  <c r="R245" i="1"/>
  <c r="L243" i="1"/>
  <c r="P243" i="1" s="1"/>
  <c r="R241" i="1"/>
  <c r="M239" i="1"/>
  <c r="Q239" i="1" s="1"/>
  <c r="J235" i="1"/>
  <c r="N235" i="1" s="1"/>
  <c r="J231" i="1"/>
  <c r="N231" i="1" s="1"/>
  <c r="J227" i="1"/>
  <c r="N227" i="1" s="1"/>
  <c r="M225" i="1"/>
  <c r="Q225" i="1" s="1"/>
  <c r="J217" i="1"/>
  <c r="N217" i="1" s="1"/>
  <c r="R199" i="1"/>
  <c r="L193" i="1"/>
  <c r="P193" i="1" s="1"/>
  <c r="M189" i="1"/>
  <c r="Q189" i="1" s="1"/>
  <c r="R171" i="1"/>
  <c r="J161" i="1"/>
  <c r="N161" i="1" s="1"/>
  <c r="L153" i="1"/>
  <c r="P153" i="1" s="1"/>
  <c r="L149" i="1"/>
  <c r="P149" i="1" s="1"/>
  <c r="K128" i="1"/>
  <c r="O128" i="1" s="1"/>
  <c r="J209" i="1"/>
  <c r="N209" i="1" s="1"/>
  <c r="L209" i="1"/>
  <c r="P209" i="1" s="1"/>
  <c r="L197" i="1"/>
  <c r="P197" i="1" s="1"/>
  <c r="J197" i="1"/>
  <c r="N197" i="1" s="1"/>
  <c r="L181" i="1"/>
  <c r="P181" i="1" s="1"/>
  <c r="M181" i="1"/>
  <c r="Q181" i="1" s="1"/>
  <c r="J181" i="1"/>
  <c r="N181" i="1" s="1"/>
  <c r="J169" i="1"/>
  <c r="N169" i="1" s="1"/>
  <c r="K169" i="1"/>
  <c r="O169" i="1" s="1"/>
  <c r="L169" i="1"/>
  <c r="P169" i="1" s="1"/>
  <c r="M251" i="1"/>
  <c r="Q251" i="1" s="1"/>
  <c r="R249" i="1"/>
  <c r="L247" i="1"/>
  <c r="P247" i="1" s="1"/>
  <c r="K243" i="1"/>
  <c r="O243" i="1" s="1"/>
  <c r="L239" i="1"/>
  <c r="P239" i="1" s="1"/>
  <c r="R239" i="1" s="1"/>
  <c r="R237" i="1"/>
  <c r="M235" i="1"/>
  <c r="Q235" i="1" s="1"/>
  <c r="R233" i="1"/>
  <c r="M231" i="1"/>
  <c r="Q231" i="1" s="1"/>
  <c r="K225" i="1"/>
  <c r="O225" i="1" s="1"/>
  <c r="M221" i="1"/>
  <c r="Q221" i="1" s="1"/>
  <c r="R211" i="1"/>
  <c r="M209" i="1"/>
  <c r="Q209" i="1" s="1"/>
  <c r="R203" i="1"/>
  <c r="M197" i="1"/>
  <c r="Q197" i="1" s="1"/>
  <c r="J193" i="1"/>
  <c r="N193" i="1" s="1"/>
  <c r="K189" i="1"/>
  <c r="O189" i="1" s="1"/>
  <c r="L177" i="1"/>
  <c r="P177" i="1" s="1"/>
  <c r="R167" i="1"/>
  <c r="J141" i="1"/>
  <c r="N141" i="1" s="1"/>
  <c r="K213" i="1"/>
  <c r="O213" i="1" s="1"/>
  <c r="M213" i="1"/>
  <c r="Q213" i="1" s="1"/>
  <c r="L201" i="1"/>
  <c r="P201" i="1" s="1"/>
  <c r="J201" i="1"/>
  <c r="N201" i="1" s="1"/>
  <c r="L185" i="1"/>
  <c r="P185" i="1" s="1"/>
  <c r="M185" i="1"/>
  <c r="Q185" i="1" s="1"/>
  <c r="J185" i="1"/>
  <c r="N185" i="1" s="1"/>
  <c r="J165" i="1"/>
  <c r="N165" i="1" s="1"/>
  <c r="K165" i="1"/>
  <c r="O165" i="1" s="1"/>
  <c r="L165" i="1"/>
  <c r="P165" i="1" s="1"/>
  <c r="R232" i="1"/>
  <c r="R229" i="1"/>
  <c r="M227" i="1"/>
  <c r="Q227" i="1" s="1"/>
  <c r="J225" i="1"/>
  <c r="N225" i="1" s="1"/>
  <c r="R223" i="1"/>
  <c r="K221" i="1"/>
  <c r="O221" i="1" s="1"/>
  <c r="R218" i="1"/>
  <c r="L213" i="1"/>
  <c r="P213" i="1" s="1"/>
  <c r="K209" i="1"/>
  <c r="O209" i="1" s="1"/>
  <c r="L205" i="1"/>
  <c r="P205" i="1" s="1"/>
  <c r="M201" i="1"/>
  <c r="Q201" i="1" s="1"/>
  <c r="K197" i="1"/>
  <c r="O197" i="1" s="1"/>
  <c r="R187" i="1"/>
  <c r="K185" i="1"/>
  <c r="O185" i="1" s="1"/>
  <c r="K157" i="1"/>
  <c r="O157" i="1" s="1"/>
  <c r="M145" i="1"/>
  <c r="Q145" i="1" s="1"/>
  <c r="J137" i="1"/>
  <c r="N137" i="1" s="1"/>
  <c r="M132" i="1"/>
  <c r="Q132" i="1" s="1"/>
  <c r="R122" i="1"/>
  <c r="K120" i="1"/>
  <c r="O120" i="1" s="1"/>
  <c r="L112" i="1"/>
  <c r="P112" i="1" s="1"/>
  <c r="R135" i="1"/>
  <c r="R222" i="1"/>
  <c r="R219" i="1"/>
  <c r="R215" i="1"/>
  <c r="R207" i="1"/>
  <c r="R176" i="1"/>
  <c r="R163" i="1"/>
  <c r="R143" i="1"/>
  <c r="R139" i="1"/>
  <c r="R121" i="1"/>
  <c r="R118" i="1"/>
  <c r="R114" i="1"/>
  <c r="R183" i="1"/>
  <c r="R159" i="1"/>
  <c r="R195" i="1"/>
  <c r="R190" i="1"/>
  <c r="R179" i="1"/>
  <c r="R158" i="1"/>
  <c r="R155" i="1"/>
  <c r="R151" i="1"/>
  <c r="R126" i="1"/>
  <c r="R106" i="1"/>
  <c r="R102" i="1"/>
  <c r="R130" i="1"/>
  <c r="R253" i="1"/>
  <c r="R248" i="1"/>
  <c r="R244" i="1"/>
  <c r="R182" i="1"/>
  <c r="R134" i="1"/>
  <c r="R162" i="1"/>
  <c r="R129" i="1" l="1"/>
  <c r="R146" i="1"/>
  <c r="R178" i="1"/>
  <c r="R198" i="1"/>
  <c r="R206" i="1"/>
  <c r="R236" i="1"/>
  <c r="R152" i="1"/>
  <c r="R188" i="1"/>
  <c r="R101" i="1"/>
  <c r="R105" i="1"/>
  <c r="R109" i="1"/>
  <c r="R125" i="1"/>
  <c r="R133" i="1"/>
  <c r="R138" i="1"/>
  <c r="R142" i="1"/>
  <c r="R150" i="1"/>
  <c r="R154" i="1"/>
  <c r="R166" i="1"/>
  <c r="R170" i="1"/>
  <c r="R174" i="1"/>
  <c r="R186" i="1"/>
  <c r="R194" i="1"/>
  <c r="R214" i="1"/>
  <c r="R228" i="1"/>
  <c r="R202" i="1"/>
  <c r="R252" i="1"/>
  <c r="R210" i="1"/>
  <c r="R240" i="1"/>
  <c r="R168" i="1"/>
  <c r="R247" i="1"/>
  <c r="R226" i="1"/>
  <c r="R242" i="1"/>
  <c r="R136" i="1"/>
  <c r="R148" i="1"/>
  <c r="R164" i="1"/>
  <c r="R184" i="1"/>
  <c r="R221" i="1"/>
  <c r="R200" i="1"/>
  <c r="R216" i="1"/>
  <c r="R246" i="1"/>
  <c r="R160" i="1"/>
  <c r="R196" i="1"/>
  <c r="R212" i="1"/>
  <c r="R131" i="1"/>
  <c r="R204" i="1"/>
  <c r="R103" i="1"/>
  <c r="R225" i="1"/>
  <c r="R123" i="1"/>
  <c r="R144" i="1"/>
  <c r="R107" i="1"/>
  <c r="R140" i="1"/>
  <c r="R250" i="1"/>
  <c r="R234" i="1"/>
  <c r="R213" i="1"/>
  <c r="R180" i="1"/>
  <c r="R119" i="1"/>
  <c r="R127" i="1"/>
  <c r="R172" i="1"/>
  <c r="R192" i="1"/>
  <c r="R208" i="1"/>
  <c r="R224" i="1"/>
  <c r="R238" i="1"/>
  <c r="R243" i="1"/>
  <c r="R205" i="1"/>
  <c r="R115" i="1"/>
  <c r="R230" i="1"/>
  <c r="R165" i="1"/>
  <c r="R201" i="1"/>
  <c r="R169" i="1"/>
  <c r="R161" i="1"/>
  <c r="R251" i="1"/>
  <c r="R112" i="1"/>
  <c r="R116" i="1"/>
  <c r="R120" i="1"/>
  <c r="R124" i="1"/>
  <c r="R153" i="1"/>
  <c r="R156" i="1"/>
  <c r="R197" i="1"/>
  <c r="R177" i="1"/>
  <c r="R137" i="1"/>
  <c r="R185" i="1"/>
  <c r="R181" i="1"/>
  <c r="R231" i="1"/>
  <c r="R128" i="1"/>
  <c r="R132" i="1"/>
  <c r="R149" i="1"/>
  <c r="R227" i="1"/>
  <c r="R141" i="1"/>
  <c r="R193" i="1"/>
  <c r="R217" i="1"/>
  <c r="R235" i="1"/>
  <c r="R104" i="1"/>
  <c r="R108" i="1"/>
  <c r="R157" i="1"/>
  <c r="R173" i="1"/>
  <c r="R189" i="1"/>
  <c r="R209" i="1"/>
  <c r="R145" i="1"/>
  <c r="U33" i="1" l="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C2" i="1"/>
  <c r="U3" i="1" l="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134" i="1"/>
  <c r="U13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 i="1"/>
  <c r="V13" i="1" l="1"/>
  <c r="E13" i="1" s="1"/>
  <c r="I13" i="1" s="1"/>
  <c r="V17" i="1"/>
  <c r="E17" i="1" s="1"/>
  <c r="I17" i="1" s="1"/>
  <c r="V14" i="1"/>
  <c r="E14" i="1" s="1"/>
  <c r="I14" i="1" s="1"/>
  <c r="V18" i="1"/>
  <c r="V22" i="1"/>
  <c r="V26" i="1"/>
  <c r="E26" i="1" s="1"/>
  <c r="I26" i="1" s="1"/>
  <c r="V30" i="1"/>
  <c r="V34" i="1"/>
  <c r="E34" i="1" s="1"/>
  <c r="I34" i="1" s="1"/>
  <c r="V38" i="1"/>
  <c r="V42" i="1"/>
  <c r="E42" i="1" s="1"/>
  <c r="I42" i="1" s="1"/>
  <c r="V46" i="1"/>
  <c r="V50" i="1"/>
  <c r="E50" i="1" s="1"/>
  <c r="I50" i="1" s="1"/>
  <c r="V54" i="1"/>
  <c r="V58" i="1"/>
  <c r="E58" i="1" s="1"/>
  <c r="I58" i="1" s="1"/>
  <c r="V62" i="1"/>
  <c r="V66" i="1"/>
  <c r="E66" i="1" s="1"/>
  <c r="I66" i="1" s="1"/>
  <c r="V70" i="1"/>
  <c r="V74" i="1"/>
  <c r="E74" i="1" s="1"/>
  <c r="I74" i="1" s="1"/>
  <c r="V78" i="1"/>
  <c r="V82" i="1"/>
  <c r="E82" i="1" s="1"/>
  <c r="I82" i="1" s="1"/>
  <c r="V86" i="1"/>
  <c r="V90" i="1"/>
  <c r="E90" i="1" s="1"/>
  <c r="I90" i="1" s="1"/>
  <c r="V94" i="1"/>
  <c r="V98" i="1"/>
  <c r="E98" i="1" s="1"/>
  <c r="I98" i="1" s="1"/>
  <c r="V21" i="1"/>
  <c r="V33" i="1"/>
  <c r="E33" i="1" s="1"/>
  <c r="I33" i="1" s="1"/>
  <c r="V45" i="1"/>
  <c r="V57" i="1"/>
  <c r="E57" i="1" s="1"/>
  <c r="I57" i="1" s="1"/>
  <c r="V69" i="1"/>
  <c r="V81" i="1"/>
  <c r="V93" i="1"/>
  <c r="V15" i="1"/>
  <c r="E15" i="1" s="1"/>
  <c r="I15" i="1" s="1"/>
  <c r="V19" i="1"/>
  <c r="V23" i="1"/>
  <c r="E23" i="1" s="1"/>
  <c r="I23" i="1" s="1"/>
  <c r="V27" i="1"/>
  <c r="V31" i="1"/>
  <c r="E31" i="1" s="1"/>
  <c r="I31" i="1" s="1"/>
  <c r="V35" i="1"/>
  <c r="V39" i="1"/>
  <c r="E39" i="1" s="1"/>
  <c r="I39" i="1" s="1"/>
  <c r="V43" i="1"/>
  <c r="V47" i="1"/>
  <c r="E47" i="1" s="1"/>
  <c r="I47" i="1" s="1"/>
  <c r="V51" i="1"/>
  <c r="V55" i="1"/>
  <c r="E55" i="1" s="1"/>
  <c r="I55" i="1" s="1"/>
  <c r="V59" i="1"/>
  <c r="V63" i="1"/>
  <c r="E63" i="1" s="1"/>
  <c r="I63" i="1" s="1"/>
  <c r="V67" i="1"/>
  <c r="V71" i="1"/>
  <c r="E71" i="1" s="1"/>
  <c r="I71" i="1" s="1"/>
  <c r="V75" i="1"/>
  <c r="V79" i="1"/>
  <c r="E79" i="1" s="1"/>
  <c r="I79" i="1" s="1"/>
  <c r="V83" i="1"/>
  <c r="V87" i="1"/>
  <c r="E87" i="1" s="1"/>
  <c r="I87" i="1" s="1"/>
  <c r="V91" i="1"/>
  <c r="V95" i="1"/>
  <c r="E95" i="1" s="1"/>
  <c r="I95" i="1" s="1"/>
  <c r="V99" i="1"/>
  <c r="V25" i="1"/>
  <c r="E25" i="1" s="1"/>
  <c r="I25" i="1" s="1"/>
  <c r="V37" i="1"/>
  <c r="V49" i="1"/>
  <c r="V61" i="1"/>
  <c r="V77" i="1"/>
  <c r="E77" i="1" s="1"/>
  <c r="V89" i="1"/>
  <c r="V16" i="1"/>
  <c r="E16" i="1" s="1"/>
  <c r="I16" i="1" s="1"/>
  <c r="V20" i="1"/>
  <c r="V24" i="1"/>
  <c r="E24" i="1" s="1"/>
  <c r="I24" i="1" s="1"/>
  <c r="V28" i="1"/>
  <c r="V32" i="1"/>
  <c r="E32" i="1" s="1"/>
  <c r="I32" i="1" s="1"/>
  <c r="V36" i="1"/>
  <c r="V40" i="1"/>
  <c r="E40" i="1" s="1"/>
  <c r="I40" i="1" s="1"/>
  <c r="V44" i="1"/>
  <c r="V48" i="1"/>
  <c r="V52" i="1"/>
  <c r="V56" i="1"/>
  <c r="E56" i="1" s="1"/>
  <c r="I56" i="1" s="1"/>
  <c r="V60" i="1"/>
  <c r="V64" i="1"/>
  <c r="E64" i="1" s="1"/>
  <c r="I64" i="1" s="1"/>
  <c r="V68" i="1"/>
  <c r="V72" i="1"/>
  <c r="E72" i="1" s="1"/>
  <c r="I72" i="1" s="1"/>
  <c r="V76" i="1"/>
  <c r="V80" i="1"/>
  <c r="E80" i="1" s="1"/>
  <c r="I80" i="1" s="1"/>
  <c r="V84" i="1"/>
  <c r="V88" i="1"/>
  <c r="E88" i="1" s="1"/>
  <c r="I88" i="1" s="1"/>
  <c r="V92" i="1"/>
  <c r="V96" i="1"/>
  <c r="E96" i="1" s="1"/>
  <c r="I96" i="1" s="1"/>
  <c r="V100" i="1"/>
  <c r="E100" i="1" s="1"/>
  <c r="I100" i="1" s="1"/>
  <c r="V29" i="1"/>
  <c r="E29" i="1" s="1"/>
  <c r="I29" i="1" s="1"/>
  <c r="V41" i="1"/>
  <c r="V53" i="1"/>
  <c r="E53" i="1" s="1"/>
  <c r="I53" i="1" s="1"/>
  <c r="V65" i="1"/>
  <c r="E65" i="1" s="1"/>
  <c r="I65" i="1" s="1"/>
  <c r="V73" i="1"/>
  <c r="E73" i="1" s="1"/>
  <c r="I73" i="1" s="1"/>
  <c r="V85" i="1"/>
  <c r="V97" i="1"/>
  <c r="E97" i="1" s="1"/>
  <c r="I97" i="1" s="1"/>
  <c r="V6" i="1"/>
  <c r="E6" i="1" s="1"/>
  <c r="I6" i="1" s="1"/>
  <c r="V113" i="1"/>
  <c r="V133" i="1"/>
  <c r="V117" i="1"/>
  <c r="V101" i="1"/>
  <c r="E93" i="1"/>
  <c r="I93" i="1" s="1"/>
  <c r="E89" i="1"/>
  <c r="I89" i="1" s="1"/>
  <c r="E85" i="1"/>
  <c r="I85" i="1" s="1"/>
  <c r="E81" i="1"/>
  <c r="I81" i="1" s="1"/>
  <c r="E69" i="1"/>
  <c r="I69" i="1" s="1"/>
  <c r="E61" i="1"/>
  <c r="I61" i="1" s="1"/>
  <c r="E49" i="1"/>
  <c r="I49" i="1" s="1"/>
  <c r="E45" i="1"/>
  <c r="I45" i="1" s="1"/>
  <c r="E41" i="1"/>
  <c r="I41" i="1" s="1"/>
  <c r="E37" i="1"/>
  <c r="I37" i="1" s="1"/>
  <c r="E21" i="1"/>
  <c r="I21" i="1" s="1"/>
  <c r="V9" i="1"/>
  <c r="E9" i="1" s="1"/>
  <c r="I9" i="1" s="1"/>
  <c r="V5" i="1"/>
  <c r="E5" i="1" s="1"/>
  <c r="I5" i="1" s="1"/>
  <c r="V121" i="1"/>
  <c r="V109" i="1"/>
  <c r="V2" i="1"/>
  <c r="E2" i="1" s="1"/>
  <c r="I2" i="1" s="1"/>
  <c r="V132" i="1"/>
  <c r="V128" i="1"/>
  <c r="V124" i="1"/>
  <c r="V120" i="1"/>
  <c r="V116" i="1"/>
  <c r="V112" i="1"/>
  <c r="V108" i="1"/>
  <c r="V104" i="1"/>
  <c r="E92" i="1"/>
  <c r="I92" i="1" s="1"/>
  <c r="E84" i="1"/>
  <c r="I84" i="1" s="1"/>
  <c r="E76" i="1"/>
  <c r="I76" i="1" s="1"/>
  <c r="E68" i="1"/>
  <c r="I68" i="1" s="1"/>
  <c r="E60" i="1"/>
  <c r="I60" i="1" s="1"/>
  <c r="E52" i="1"/>
  <c r="I52" i="1" s="1"/>
  <c r="E48" i="1"/>
  <c r="I48" i="1" s="1"/>
  <c r="E44" i="1"/>
  <c r="I44" i="1" s="1"/>
  <c r="E36" i="1"/>
  <c r="I36" i="1" s="1"/>
  <c r="E28" i="1"/>
  <c r="I28" i="1" s="1"/>
  <c r="E20" i="1"/>
  <c r="I20" i="1" s="1"/>
  <c r="V12" i="1"/>
  <c r="E12" i="1" s="1"/>
  <c r="I12" i="1" s="1"/>
  <c r="V8" i="1"/>
  <c r="E8" i="1" s="1"/>
  <c r="I8" i="1" s="1"/>
  <c r="V4" i="1"/>
  <c r="E4" i="1" s="1"/>
  <c r="I4" i="1" s="1"/>
  <c r="V129" i="1"/>
  <c r="V105" i="1"/>
  <c r="V136" i="1"/>
  <c r="V131" i="1"/>
  <c r="V127" i="1"/>
  <c r="V123" i="1"/>
  <c r="V119" i="1"/>
  <c r="V115" i="1"/>
  <c r="V111" i="1"/>
  <c r="V107" i="1"/>
  <c r="V103" i="1"/>
  <c r="E99" i="1"/>
  <c r="I99" i="1" s="1"/>
  <c r="E91" i="1"/>
  <c r="I91" i="1" s="1"/>
  <c r="E83" i="1"/>
  <c r="I83" i="1" s="1"/>
  <c r="E75" i="1"/>
  <c r="I75" i="1" s="1"/>
  <c r="E67" i="1"/>
  <c r="I67" i="1" s="1"/>
  <c r="E59" i="1"/>
  <c r="I59" i="1" s="1"/>
  <c r="E51" i="1"/>
  <c r="I51" i="1" s="1"/>
  <c r="E43" i="1"/>
  <c r="I43" i="1" s="1"/>
  <c r="E35" i="1"/>
  <c r="I35" i="1" s="1"/>
  <c r="E27" i="1"/>
  <c r="I27" i="1" s="1"/>
  <c r="E19" i="1"/>
  <c r="I19" i="1" s="1"/>
  <c r="V11" i="1"/>
  <c r="E11" i="1" s="1"/>
  <c r="I11" i="1" s="1"/>
  <c r="V7" i="1"/>
  <c r="E7" i="1" s="1"/>
  <c r="I7" i="1" s="1"/>
  <c r="V3" i="1"/>
  <c r="E3" i="1" s="1"/>
  <c r="I3" i="1" s="1"/>
  <c r="V125" i="1"/>
  <c r="V130" i="1"/>
  <c r="V126" i="1"/>
  <c r="V122" i="1"/>
  <c r="V118" i="1"/>
  <c r="V114" i="1"/>
  <c r="V110" i="1"/>
  <c r="V106" i="1"/>
  <c r="V102" i="1"/>
  <c r="E94" i="1"/>
  <c r="I94" i="1" s="1"/>
  <c r="E86" i="1"/>
  <c r="I86" i="1" s="1"/>
  <c r="E78" i="1"/>
  <c r="I78" i="1" s="1"/>
  <c r="E70" i="1"/>
  <c r="I70" i="1" s="1"/>
  <c r="E62" i="1"/>
  <c r="I62" i="1" s="1"/>
  <c r="E54" i="1"/>
  <c r="I54" i="1" s="1"/>
  <c r="E46" i="1"/>
  <c r="I46" i="1" s="1"/>
  <c r="E38" i="1"/>
  <c r="I38" i="1" s="1"/>
  <c r="E30" i="1"/>
  <c r="I30" i="1" s="1"/>
  <c r="E22" i="1"/>
  <c r="I22" i="1" s="1"/>
  <c r="E18" i="1"/>
  <c r="I18" i="1" s="1"/>
  <c r="V10" i="1"/>
  <c r="E10" i="1" s="1"/>
  <c r="I10" i="1" s="1"/>
  <c r="I77" i="1" l="1"/>
  <c r="M87" i="1"/>
  <c r="Q87" i="1" s="1"/>
  <c r="L87" i="1"/>
  <c r="P87" i="1" s="1"/>
  <c r="K87" i="1"/>
  <c r="O87" i="1" s="1"/>
  <c r="J87" i="1"/>
  <c r="N87" i="1" s="1"/>
  <c r="K55" i="1"/>
  <c r="O55" i="1" s="1"/>
  <c r="J55" i="1"/>
  <c r="N55" i="1" s="1"/>
  <c r="L55" i="1"/>
  <c r="P55" i="1" s="1"/>
  <c r="M55" i="1"/>
  <c r="Q55" i="1" s="1"/>
  <c r="K23" i="1"/>
  <c r="O23" i="1" s="1"/>
  <c r="J23" i="1"/>
  <c r="N23" i="1" s="1"/>
  <c r="M23" i="1"/>
  <c r="Q23" i="1" s="1"/>
  <c r="L23" i="1"/>
  <c r="P23" i="1" s="1"/>
  <c r="K71" i="1"/>
  <c r="O71" i="1" s="1"/>
  <c r="L71" i="1"/>
  <c r="P71" i="1" s="1"/>
  <c r="M71" i="1"/>
  <c r="Q71" i="1" s="1"/>
  <c r="J71" i="1"/>
  <c r="N71" i="1" s="1"/>
  <c r="K39" i="1"/>
  <c r="O39" i="1" s="1"/>
  <c r="L39" i="1"/>
  <c r="P39" i="1" s="1"/>
  <c r="M39" i="1"/>
  <c r="Q39" i="1" s="1"/>
  <c r="J39" i="1"/>
  <c r="N39" i="1" s="1"/>
  <c r="J33" i="1"/>
  <c r="N33" i="1" s="1"/>
  <c r="K33" i="1"/>
  <c r="O33" i="1" s="1"/>
  <c r="M33" i="1"/>
  <c r="Q33" i="1" s="1"/>
  <c r="L33" i="1"/>
  <c r="P33" i="1" s="1"/>
  <c r="L38" i="1"/>
  <c r="P38" i="1" s="1"/>
  <c r="J38" i="1"/>
  <c r="N38" i="1" s="1"/>
  <c r="M38" i="1"/>
  <c r="Q38" i="1" s="1"/>
  <c r="K38" i="1"/>
  <c r="O38" i="1" s="1"/>
  <c r="K63" i="1"/>
  <c r="O63" i="1" s="1"/>
  <c r="M63" i="1"/>
  <c r="Q63" i="1" s="1"/>
  <c r="L63" i="1"/>
  <c r="P63" i="1" s="1"/>
  <c r="J63" i="1"/>
  <c r="N63" i="1" s="1"/>
  <c r="J20" i="1"/>
  <c r="N20" i="1" s="1"/>
  <c r="M20" i="1"/>
  <c r="Q20" i="1" s="1"/>
  <c r="K20" i="1"/>
  <c r="O20" i="1" s="1"/>
  <c r="L20" i="1"/>
  <c r="P20" i="1" s="1"/>
  <c r="M64" i="1"/>
  <c r="Q64" i="1" s="1"/>
  <c r="K64" i="1"/>
  <c r="O64" i="1" s="1"/>
  <c r="L64" i="1"/>
  <c r="P64" i="1" s="1"/>
  <c r="J64" i="1"/>
  <c r="N64" i="1" s="1"/>
  <c r="J73" i="1"/>
  <c r="N73" i="1" s="1"/>
  <c r="K73" i="1"/>
  <c r="O73" i="1" s="1"/>
  <c r="L73" i="1"/>
  <c r="P73" i="1" s="1"/>
  <c r="M73" i="1"/>
  <c r="Q73" i="1" s="1"/>
  <c r="J72" i="1"/>
  <c r="N72" i="1" s="1"/>
  <c r="L72" i="1"/>
  <c r="P72" i="1" s="1"/>
  <c r="M72" i="1"/>
  <c r="Q72" i="1" s="1"/>
  <c r="K72" i="1"/>
  <c r="O72" i="1" s="1"/>
  <c r="J24" i="1"/>
  <c r="N24" i="1" s="1"/>
  <c r="L24" i="1"/>
  <c r="P24" i="1" s="1"/>
  <c r="K24" i="1"/>
  <c r="O24" i="1" s="1"/>
  <c r="M24" i="1"/>
  <c r="Q24" i="1" s="1"/>
  <c r="J74" i="1"/>
  <c r="N74" i="1" s="1"/>
  <c r="L74" i="1"/>
  <c r="P74" i="1" s="1"/>
  <c r="K74" i="1"/>
  <c r="O74" i="1" s="1"/>
  <c r="M74" i="1"/>
  <c r="Q74" i="1" s="1"/>
  <c r="M42" i="1"/>
  <c r="Q42" i="1" s="1"/>
  <c r="K42" i="1"/>
  <c r="O42" i="1" s="1"/>
  <c r="J42" i="1"/>
  <c r="N42" i="1" s="1"/>
  <c r="L42" i="1"/>
  <c r="P42" i="1" s="1"/>
  <c r="J30" i="1"/>
  <c r="N30" i="1" s="1"/>
  <c r="M30" i="1"/>
  <c r="Q30" i="1" s="1"/>
  <c r="K30" i="1"/>
  <c r="O30" i="1" s="1"/>
  <c r="L30" i="1"/>
  <c r="P30" i="1" s="1"/>
  <c r="K50" i="1"/>
  <c r="O50" i="1" s="1"/>
  <c r="M50" i="1"/>
  <c r="Q50" i="1" s="1"/>
  <c r="L50" i="1"/>
  <c r="P50" i="1" s="1"/>
  <c r="J50" i="1"/>
  <c r="N50" i="1" s="1"/>
  <c r="J70" i="1"/>
  <c r="N70" i="1" s="1"/>
  <c r="L70" i="1"/>
  <c r="P70" i="1" s="1"/>
  <c r="K70" i="1"/>
  <c r="O70" i="1" s="1"/>
  <c r="M70" i="1"/>
  <c r="Q70" i="1" s="1"/>
  <c r="J94" i="1"/>
  <c r="N94" i="1" s="1"/>
  <c r="K94" i="1"/>
  <c r="O94" i="1" s="1"/>
  <c r="M94" i="1"/>
  <c r="Q94" i="1" s="1"/>
  <c r="L94" i="1"/>
  <c r="P94" i="1" s="1"/>
  <c r="K32" i="1"/>
  <c r="O32" i="1" s="1"/>
  <c r="J32" i="1"/>
  <c r="N32" i="1" s="1"/>
  <c r="L32" i="1"/>
  <c r="P32" i="1" s="1"/>
  <c r="M32" i="1"/>
  <c r="Q32" i="1" s="1"/>
  <c r="L52" i="1"/>
  <c r="P52" i="1" s="1"/>
  <c r="M52" i="1"/>
  <c r="Q52" i="1" s="1"/>
  <c r="J52" i="1"/>
  <c r="N52" i="1" s="1"/>
  <c r="K52" i="1"/>
  <c r="O52" i="1" s="1"/>
  <c r="J76" i="1"/>
  <c r="N76" i="1" s="1"/>
  <c r="L76" i="1"/>
  <c r="P76" i="1" s="1"/>
  <c r="K76" i="1"/>
  <c r="O76" i="1" s="1"/>
  <c r="M76" i="1"/>
  <c r="Q76" i="1" s="1"/>
  <c r="K96" i="1"/>
  <c r="O96" i="1" s="1"/>
  <c r="L96" i="1"/>
  <c r="P96" i="1" s="1"/>
  <c r="M96" i="1"/>
  <c r="Q96" i="1" s="1"/>
  <c r="J96" i="1"/>
  <c r="N96" i="1" s="1"/>
  <c r="J49" i="1"/>
  <c r="N49" i="1" s="1"/>
  <c r="L49" i="1"/>
  <c r="P49" i="1" s="1"/>
  <c r="M49" i="1"/>
  <c r="Q49" i="1" s="1"/>
  <c r="K49" i="1"/>
  <c r="O49" i="1" s="1"/>
  <c r="K65" i="1"/>
  <c r="O65" i="1" s="1"/>
  <c r="J65" i="1"/>
  <c r="N65" i="1" s="1"/>
  <c r="L65" i="1"/>
  <c r="P65" i="1" s="1"/>
  <c r="M65" i="1"/>
  <c r="Q65" i="1" s="1"/>
  <c r="J89" i="1"/>
  <c r="N89" i="1" s="1"/>
  <c r="M89" i="1"/>
  <c r="Q89" i="1" s="1"/>
  <c r="K89" i="1"/>
  <c r="O89" i="1" s="1"/>
  <c r="L89" i="1"/>
  <c r="P89" i="1" s="1"/>
  <c r="M16" i="1"/>
  <c r="Q16" i="1" s="1"/>
  <c r="J16" i="1"/>
  <c r="N16" i="1" s="1"/>
  <c r="L16" i="1"/>
  <c r="P16" i="1" s="1"/>
  <c r="K16" i="1"/>
  <c r="O16" i="1" s="1"/>
  <c r="J15" i="1"/>
  <c r="N15" i="1" s="1"/>
  <c r="K15" i="1"/>
  <c r="O15" i="1" s="1"/>
  <c r="M15" i="1"/>
  <c r="Q15" i="1" s="1"/>
  <c r="L15" i="1"/>
  <c r="P15" i="1" s="1"/>
  <c r="K18" i="1"/>
  <c r="O18" i="1" s="1"/>
  <c r="M18" i="1"/>
  <c r="Q18" i="1" s="1"/>
  <c r="J18" i="1"/>
  <c r="N18" i="1" s="1"/>
  <c r="L18" i="1"/>
  <c r="P18" i="1" s="1"/>
  <c r="K62" i="1"/>
  <c r="O62" i="1" s="1"/>
  <c r="M62" i="1"/>
  <c r="Q62" i="1" s="1"/>
  <c r="J62" i="1"/>
  <c r="N62" i="1" s="1"/>
  <c r="L62" i="1"/>
  <c r="P62" i="1" s="1"/>
  <c r="K82" i="1"/>
  <c r="O82" i="1" s="1"/>
  <c r="M82" i="1"/>
  <c r="Q82" i="1" s="1"/>
  <c r="J82" i="1"/>
  <c r="N82" i="1" s="1"/>
  <c r="L82" i="1"/>
  <c r="P82" i="1" s="1"/>
  <c r="K31" i="1"/>
  <c r="O31" i="1" s="1"/>
  <c r="M31" i="1"/>
  <c r="Q31" i="1" s="1"/>
  <c r="L31" i="1"/>
  <c r="P31" i="1" s="1"/>
  <c r="J31" i="1"/>
  <c r="N31" i="1" s="1"/>
  <c r="J79" i="1"/>
  <c r="N79" i="1" s="1"/>
  <c r="M79" i="1"/>
  <c r="Q79" i="1" s="1"/>
  <c r="K79" i="1"/>
  <c r="O79" i="1" s="1"/>
  <c r="L79" i="1"/>
  <c r="P79" i="1" s="1"/>
  <c r="K95" i="1"/>
  <c r="O95" i="1" s="1"/>
  <c r="M95" i="1"/>
  <c r="Q95" i="1" s="1"/>
  <c r="J95" i="1"/>
  <c r="N95" i="1" s="1"/>
  <c r="L95" i="1"/>
  <c r="P95" i="1" s="1"/>
  <c r="M44" i="1"/>
  <c r="Q44" i="1" s="1"/>
  <c r="J44" i="1"/>
  <c r="N44" i="1" s="1"/>
  <c r="K44" i="1"/>
  <c r="O44" i="1" s="1"/>
  <c r="L44" i="1"/>
  <c r="P44" i="1" s="1"/>
  <c r="J84" i="1"/>
  <c r="N84" i="1" s="1"/>
  <c r="L84" i="1"/>
  <c r="P84" i="1" s="1"/>
  <c r="K84" i="1"/>
  <c r="O84" i="1" s="1"/>
  <c r="M84" i="1"/>
  <c r="Q84" i="1" s="1"/>
  <c r="L41" i="1"/>
  <c r="P41" i="1" s="1"/>
  <c r="M41" i="1"/>
  <c r="Q41" i="1" s="1"/>
  <c r="K41" i="1"/>
  <c r="O41" i="1" s="1"/>
  <c r="J41" i="1"/>
  <c r="N41" i="1" s="1"/>
  <c r="M88" i="1"/>
  <c r="Q88" i="1" s="1"/>
  <c r="J88" i="1"/>
  <c r="N88" i="1" s="1"/>
  <c r="K88" i="1"/>
  <c r="O88" i="1" s="1"/>
  <c r="L88" i="1"/>
  <c r="P88" i="1" s="1"/>
  <c r="M40" i="1"/>
  <c r="Q40" i="1" s="1"/>
  <c r="K40" i="1"/>
  <c r="O40" i="1" s="1"/>
  <c r="L40" i="1"/>
  <c r="P40" i="1" s="1"/>
  <c r="J40" i="1"/>
  <c r="N40" i="1" s="1"/>
  <c r="L25" i="1"/>
  <c r="P25" i="1" s="1"/>
  <c r="J25" i="1"/>
  <c r="N25" i="1" s="1"/>
  <c r="K25" i="1"/>
  <c r="O25" i="1" s="1"/>
  <c r="M25" i="1"/>
  <c r="Q25" i="1" s="1"/>
  <c r="J90" i="1"/>
  <c r="N90" i="1" s="1"/>
  <c r="K90" i="1"/>
  <c r="O90" i="1" s="1"/>
  <c r="L90" i="1"/>
  <c r="P90" i="1" s="1"/>
  <c r="M90" i="1"/>
  <c r="Q90" i="1" s="1"/>
  <c r="K34" i="1"/>
  <c r="O34" i="1" s="1"/>
  <c r="J34" i="1"/>
  <c r="N34" i="1" s="1"/>
  <c r="L34" i="1"/>
  <c r="P34" i="1" s="1"/>
  <c r="M34" i="1"/>
  <c r="Q34" i="1" s="1"/>
  <c r="L54" i="1"/>
  <c r="P54" i="1" s="1"/>
  <c r="K54" i="1"/>
  <c r="O54" i="1" s="1"/>
  <c r="J54" i="1"/>
  <c r="N54" i="1" s="1"/>
  <c r="M54" i="1"/>
  <c r="Q54" i="1" s="1"/>
  <c r="K78" i="1"/>
  <c r="O78" i="1" s="1"/>
  <c r="M78" i="1"/>
  <c r="Q78" i="1" s="1"/>
  <c r="J78" i="1"/>
  <c r="N78" i="1" s="1"/>
  <c r="L78" i="1"/>
  <c r="P78" i="1" s="1"/>
  <c r="J98" i="1"/>
  <c r="N98" i="1" s="1"/>
  <c r="K98" i="1"/>
  <c r="O98" i="1" s="1"/>
  <c r="L98" i="1"/>
  <c r="P98" i="1" s="1"/>
  <c r="M98" i="1"/>
  <c r="Q98" i="1" s="1"/>
  <c r="K27" i="1"/>
  <c r="O27" i="1" s="1"/>
  <c r="J27" i="1"/>
  <c r="N27" i="1" s="1"/>
  <c r="M27" i="1"/>
  <c r="Q27" i="1" s="1"/>
  <c r="L27" i="1"/>
  <c r="P27" i="1" s="1"/>
  <c r="K43" i="1"/>
  <c r="O43" i="1" s="1"/>
  <c r="J43" i="1"/>
  <c r="N43" i="1" s="1"/>
  <c r="L43" i="1"/>
  <c r="P43" i="1" s="1"/>
  <c r="M43" i="1"/>
  <c r="Q43" i="1" s="1"/>
  <c r="K59" i="1"/>
  <c r="O59" i="1" s="1"/>
  <c r="J59" i="1"/>
  <c r="N59" i="1" s="1"/>
  <c r="M59" i="1"/>
  <c r="Q59" i="1" s="1"/>
  <c r="L59" i="1"/>
  <c r="P59" i="1" s="1"/>
  <c r="J75" i="1"/>
  <c r="N75" i="1" s="1"/>
  <c r="M75" i="1"/>
  <c r="Q75" i="1" s="1"/>
  <c r="L75" i="1"/>
  <c r="P75" i="1" s="1"/>
  <c r="K75" i="1"/>
  <c r="O75" i="1" s="1"/>
  <c r="K91" i="1"/>
  <c r="O91" i="1" s="1"/>
  <c r="J91" i="1"/>
  <c r="N91" i="1" s="1"/>
  <c r="M91" i="1"/>
  <c r="Q91" i="1" s="1"/>
  <c r="L91" i="1"/>
  <c r="P91" i="1" s="1"/>
  <c r="M36" i="1"/>
  <c r="Q36" i="1" s="1"/>
  <c r="L36" i="1"/>
  <c r="P36" i="1" s="1"/>
  <c r="J36" i="1"/>
  <c r="N36" i="1" s="1"/>
  <c r="K36" i="1"/>
  <c r="O36" i="1" s="1"/>
  <c r="J60" i="1"/>
  <c r="N60" i="1" s="1"/>
  <c r="K60" i="1"/>
  <c r="O60" i="1" s="1"/>
  <c r="L60" i="1"/>
  <c r="P60" i="1" s="1"/>
  <c r="M60" i="1"/>
  <c r="Q60" i="1" s="1"/>
  <c r="L80" i="1"/>
  <c r="P80" i="1" s="1"/>
  <c r="M80" i="1"/>
  <c r="Q80" i="1" s="1"/>
  <c r="J80" i="1"/>
  <c r="N80" i="1" s="1"/>
  <c r="K80" i="1"/>
  <c r="O80" i="1" s="1"/>
  <c r="K100" i="1"/>
  <c r="O100" i="1" s="1"/>
  <c r="J100" i="1"/>
  <c r="N100" i="1" s="1"/>
  <c r="L100" i="1"/>
  <c r="P100" i="1" s="1"/>
  <c r="M100" i="1"/>
  <c r="Q100" i="1" s="1"/>
  <c r="K37" i="1"/>
  <c r="O37" i="1" s="1"/>
  <c r="L37" i="1"/>
  <c r="P37" i="1" s="1"/>
  <c r="J37" i="1"/>
  <c r="N37" i="1" s="1"/>
  <c r="M37" i="1"/>
  <c r="Q37" i="1" s="1"/>
  <c r="K53" i="1"/>
  <c r="O53" i="1" s="1"/>
  <c r="J53" i="1"/>
  <c r="N53" i="1" s="1"/>
  <c r="L53" i="1"/>
  <c r="P53" i="1" s="1"/>
  <c r="M53" i="1"/>
  <c r="Q53" i="1" s="1"/>
  <c r="J69" i="1"/>
  <c r="N69" i="1" s="1"/>
  <c r="L69" i="1"/>
  <c r="P69" i="1" s="1"/>
  <c r="M69" i="1"/>
  <c r="Q69" i="1" s="1"/>
  <c r="K69" i="1"/>
  <c r="O69" i="1" s="1"/>
  <c r="M93" i="1"/>
  <c r="Q93" i="1" s="1"/>
  <c r="K93" i="1"/>
  <c r="O93" i="1" s="1"/>
  <c r="L93" i="1"/>
  <c r="P93" i="1" s="1"/>
  <c r="J93" i="1"/>
  <c r="N93" i="1" s="1"/>
  <c r="L14" i="1"/>
  <c r="P14" i="1" s="1"/>
  <c r="K14" i="1"/>
  <c r="O14" i="1" s="1"/>
  <c r="J14" i="1"/>
  <c r="N14" i="1" s="1"/>
  <c r="M14" i="1"/>
  <c r="Q14" i="1" s="1"/>
  <c r="L17" i="1"/>
  <c r="P17" i="1" s="1"/>
  <c r="J17" i="1"/>
  <c r="N17" i="1" s="1"/>
  <c r="K17" i="1"/>
  <c r="O17" i="1" s="1"/>
  <c r="M17" i="1"/>
  <c r="Q17" i="1" s="1"/>
  <c r="K47" i="1"/>
  <c r="O47" i="1" s="1"/>
  <c r="L47" i="1"/>
  <c r="P47" i="1" s="1"/>
  <c r="M47" i="1"/>
  <c r="Q47" i="1" s="1"/>
  <c r="J47" i="1"/>
  <c r="N47" i="1" s="1"/>
  <c r="J57" i="1"/>
  <c r="N57" i="1" s="1"/>
  <c r="K57" i="1"/>
  <c r="O57" i="1" s="1"/>
  <c r="L57" i="1"/>
  <c r="P57" i="1" s="1"/>
  <c r="M57" i="1"/>
  <c r="Q57" i="1" s="1"/>
  <c r="K81" i="1"/>
  <c r="O81" i="1" s="1"/>
  <c r="J81" i="1"/>
  <c r="N81" i="1" s="1"/>
  <c r="L81" i="1"/>
  <c r="P81" i="1" s="1"/>
  <c r="M81" i="1"/>
  <c r="Q81" i="1" s="1"/>
  <c r="J97" i="1"/>
  <c r="N97" i="1" s="1"/>
  <c r="L97" i="1"/>
  <c r="P97" i="1" s="1"/>
  <c r="M97" i="1"/>
  <c r="Q97" i="1" s="1"/>
  <c r="K97" i="1"/>
  <c r="O97" i="1" s="1"/>
  <c r="M29" i="1"/>
  <c r="Q29" i="1" s="1"/>
  <c r="J29" i="1"/>
  <c r="N29" i="1" s="1"/>
  <c r="L29" i="1"/>
  <c r="P29" i="1" s="1"/>
  <c r="K29" i="1"/>
  <c r="O29" i="1" s="1"/>
  <c r="L56" i="1"/>
  <c r="P56" i="1" s="1"/>
  <c r="J56" i="1"/>
  <c r="N56" i="1" s="1"/>
  <c r="K56" i="1"/>
  <c r="O56" i="1" s="1"/>
  <c r="M56" i="1"/>
  <c r="Q56" i="1" s="1"/>
  <c r="K77" i="1"/>
  <c r="O77" i="1" s="1"/>
  <c r="J77" i="1"/>
  <c r="N77" i="1" s="1"/>
  <c r="L77" i="1"/>
  <c r="P77" i="1" s="1"/>
  <c r="M77" i="1"/>
  <c r="Q77" i="1" s="1"/>
  <c r="J58" i="1"/>
  <c r="N58" i="1" s="1"/>
  <c r="L58" i="1"/>
  <c r="P58" i="1" s="1"/>
  <c r="K58" i="1"/>
  <c r="O58" i="1" s="1"/>
  <c r="M58" i="1"/>
  <c r="Q58" i="1" s="1"/>
  <c r="M26" i="1"/>
  <c r="Q26" i="1" s="1"/>
  <c r="L26" i="1"/>
  <c r="P26" i="1" s="1"/>
  <c r="J26" i="1"/>
  <c r="N26" i="1" s="1"/>
  <c r="K26" i="1"/>
  <c r="O26" i="1" s="1"/>
  <c r="L22" i="1"/>
  <c r="P22" i="1" s="1"/>
  <c r="K22" i="1"/>
  <c r="O22" i="1" s="1"/>
  <c r="J22" i="1"/>
  <c r="N22" i="1" s="1"/>
  <c r="M22" i="1"/>
  <c r="Q22" i="1" s="1"/>
  <c r="J46" i="1"/>
  <c r="N46" i="1" s="1"/>
  <c r="L46" i="1"/>
  <c r="P46" i="1" s="1"/>
  <c r="M46" i="1"/>
  <c r="Q46" i="1" s="1"/>
  <c r="K46" i="1"/>
  <c r="O46" i="1" s="1"/>
  <c r="K66" i="1"/>
  <c r="O66" i="1" s="1"/>
  <c r="M66" i="1"/>
  <c r="Q66" i="1" s="1"/>
  <c r="J66" i="1"/>
  <c r="N66" i="1" s="1"/>
  <c r="L66" i="1"/>
  <c r="P66" i="1" s="1"/>
  <c r="J86" i="1"/>
  <c r="N86" i="1" s="1"/>
  <c r="K86" i="1"/>
  <c r="O86" i="1" s="1"/>
  <c r="L86" i="1"/>
  <c r="P86" i="1" s="1"/>
  <c r="M86" i="1"/>
  <c r="Q86" i="1" s="1"/>
  <c r="M19" i="1"/>
  <c r="Q19" i="1" s="1"/>
  <c r="J19" i="1"/>
  <c r="N19" i="1" s="1"/>
  <c r="K19" i="1"/>
  <c r="O19" i="1" s="1"/>
  <c r="L19" i="1"/>
  <c r="P19" i="1" s="1"/>
  <c r="K35" i="1"/>
  <c r="O35" i="1" s="1"/>
  <c r="M35" i="1"/>
  <c r="Q35" i="1" s="1"/>
  <c r="J35" i="1"/>
  <c r="N35" i="1" s="1"/>
  <c r="L35" i="1"/>
  <c r="P35" i="1" s="1"/>
  <c r="K51" i="1"/>
  <c r="O51" i="1" s="1"/>
  <c r="J51" i="1"/>
  <c r="N51" i="1" s="1"/>
  <c r="L51" i="1"/>
  <c r="P51" i="1" s="1"/>
  <c r="M51" i="1"/>
  <c r="Q51" i="1" s="1"/>
  <c r="K67" i="1"/>
  <c r="O67" i="1" s="1"/>
  <c r="J67" i="1"/>
  <c r="N67" i="1" s="1"/>
  <c r="M67" i="1"/>
  <c r="Q67" i="1" s="1"/>
  <c r="L67" i="1"/>
  <c r="P67" i="1" s="1"/>
  <c r="L83" i="1"/>
  <c r="P83" i="1" s="1"/>
  <c r="M83" i="1"/>
  <c r="Q83" i="1" s="1"/>
  <c r="J83" i="1"/>
  <c r="N83" i="1" s="1"/>
  <c r="K83" i="1"/>
  <c r="O83" i="1" s="1"/>
  <c r="K99" i="1"/>
  <c r="O99" i="1" s="1"/>
  <c r="L99" i="1"/>
  <c r="P99" i="1" s="1"/>
  <c r="M99" i="1"/>
  <c r="Q99" i="1" s="1"/>
  <c r="J99" i="1"/>
  <c r="N99" i="1" s="1"/>
  <c r="J28" i="1"/>
  <c r="N28" i="1" s="1"/>
  <c r="M28" i="1"/>
  <c r="Q28" i="1" s="1"/>
  <c r="K28" i="1"/>
  <c r="O28" i="1" s="1"/>
  <c r="L28" i="1"/>
  <c r="P28" i="1" s="1"/>
  <c r="L48" i="1"/>
  <c r="P48" i="1" s="1"/>
  <c r="J48" i="1"/>
  <c r="N48" i="1" s="1"/>
  <c r="K48" i="1"/>
  <c r="O48" i="1" s="1"/>
  <c r="M48" i="1"/>
  <c r="Q48" i="1" s="1"/>
  <c r="L68" i="1"/>
  <c r="P68" i="1" s="1"/>
  <c r="M68" i="1"/>
  <c r="Q68" i="1" s="1"/>
  <c r="J68" i="1"/>
  <c r="N68" i="1" s="1"/>
  <c r="K68" i="1"/>
  <c r="O68" i="1" s="1"/>
  <c r="L92" i="1"/>
  <c r="P92" i="1" s="1"/>
  <c r="M92" i="1"/>
  <c r="Q92" i="1" s="1"/>
  <c r="J92" i="1"/>
  <c r="N92" i="1" s="1"/>
  <c r="K92" i="1"/>
  <c r="O92" i="1" s="1"/>
  <c r="K21" i="1"/>
  <c r="O21" i="1" s="1"/>
  <c r="M21" i="1"/>
  <c r="Q21" i="1" s="1"/>
  <c r="J21" i="1"/>
  <c r="N21" i="1" s="1"/>
  <c r="L21" i="1"/>
  <c r="P21" i="1" s="1"/>
  <c r="M45" i="1"/>
  <c r="Q45" i="1" s="1"/>
  <c r="L45" i="1"/>
  <c r="P45" i="1" s="1"/>
  <c r="J45" i="1"/>
  <c r="N45" i="1" s="1"/>
  <c r="K45" i="1"/>
  <c r="O45" i="1" s="1"/>
  <c r="K61" i="1"/>
  <c r="O61" i="1" s="1"/>
  <c r="J61" i="1"/>
  <c r="N61" i="1" s="1"/>
  <c r="L61" i="1"/>
  <c r="P61" i="1" s="1"/>
  <c r="M61" i="1"/>
  <c r="Q61" i="1" s="1"/>
  <c r="K85" i="1"/>
  <c r="O85" i="1" s="1"/>
  <c r="J85" i="1"/>
  <c r="N85" i="1" s="1"/>
  <c r="L85" i="1"/>
  <c r="P85" i="1" s="1"/>
  <c r="M85" i="1"/>
  <c r="Q85" i="1" s="1"/>
  <c r="L13" i="1"/>
  <c r="P13" i="1" s="1"/>
  <c r="K13" i="1"/>
  <c r="O13" i="1" s="1"/>
  <c r="J13" i="1"/>
  <c r="N13" i="1" s="1"/>
  <c r="M13" i="1"/>
  <c r="Q13" i="1" s="1"/>
  <c r="G50" i="1"/>
  <c r="F50" i="1"/>
  <c r="G98" i="1"/>
  <c r="F98" i="1"/>
  <c r="G55" i="1"/>
  <c r="F55" i="1"/>
  <c r="G87" i="1"/>
  <c r="F87" i="1"/>
  <c r="G8" i="1"/>
  <c r="G56" i="1"/>
  <c r="F56" i="1"/>
  <c r="G41" i="1"/>
  <c r="F41" i="1"/>
  <c r="G89" i="1"/>
  <c r="F89" i="1"/>
  <c r="G38" i="1"/>
  <c r="F38" i="1"/>
  <c r="G70" i="1"/>
  <c r="F70" i="1"/>
  <c r="G86" i="1"/>
  <c r="F86" i="1"/>
  <c r="F11" i="1"/>
  <c r="G11" i="1"/>
  <c r="F27" i="1"/>
  <c r="G27" i="1"/>
  <c r="F43" i="1"/>
  <c r="G43" i="1"/>
  <c r="F59" i="1"/>
  <c r="G59" i="1"/>
  <c r="F75" i="1"/>
  <c r="G75" i="1"/>
  <c r="F91" i="1"/>
  <c r="G91" i="1"/>
  <c r="G12" i="1"/>
  <c r="F12" i="1"/>
  <c r="G28" i="1"/>
  <c r="F28" i="1"/>
  <c r="G44" i="1"/>
  <c r="F44" i="1"/>
  <c r="G60" i="1"/>
  <c r="F60" i="1"/>
  <c r="G76" i="1"/>
  <c r="F76" i="1"/>
  <c r="G92" i="1"/>
  <c r="F92" i="1"/>
  <c r="G13" i="1"/>
  <c r="F13" i="1"/>
  <c r="G29" i="1"/>
  <c r="F29" i="1"/>
  <c r="G45" i="1"/>
  <c r="F45" i="1"/>
  <c r="G61" i="1"/>
  <c r="F61" i="1"/>
  <c r="G77" i="1"/>
  <c r="F77" i="1"/>
  <c r="G93" i="1"/>
  <c r="F93" i="1"/>
  <c r="G18" i="1"/>
  <c r="F18" i="1"/>
  <c r="G66" i="1"/>
  <c r="F66" i="1"/>
  <c r="F23" i="1"/>
  <c r="G23" i="1"/>
  <c r="G71" i="1"/>
  <c r="F71" i="1"/>
  <c r="F24" i="1"/>
  <c r="G24" i="1"/>
  <c r="G72" i="1"/>
  <c r="F72" i="1"/>
  <c r="G25" i="1"/>
  <c r="F25" i="1"/>
  <c r="G73" i="1"/>
  <c r="F73" i="1"/>
  <c r="F22" i="1"/>
  <c r="G22" i="1"/>
  <c r="G10" i="1"/>
  <c r="G26" i="1"/>
  <c r="F26" i="1"/>
  <c r="G42" i="1"/>
  <c r="F42" i="1"/>
  <c r="G58" i="1"/>
  <c r="F58" i="1"/>
  <c r="G74" i="1"/>
  <c r="G90" i="1"/>
  <c r="F90" i="1"/>
  <c r="F15" i="1"/>
  <c r="G15" i="1"/>
  <c r="F31" i="1"/>
  <c r="G31" i="1"/>
  <c r="F47" i="1"/>
  <c r="G47" i="1"/>
  <c r="F63" i="1"/>
  <c r="G63" i="1"/>
  <c r="F79" i="1"/>
  <c r="G79" i="1"/>
  <c r="F95" i="1"/>
  <c r="G95" i="1"/>
  <c r="F16" i="1"/>
  <c r="G16" i="1"/>
  <c r="F32" i="1"/>
  <c r="G32" i="1"/>
  <c r="F48" i="1"/>
  <c r="G48" i="1"/>
  <c r="F64" i="1"/>
  <c r="G64" i="1"/>
  <c r="F80" i="1"/>
  <c r="G80" i="1"/>
  <c r="F96" i="1"/>
  <c r="G96" i="1"/>
  <c r="G17" i="1"/>
  <c r="F17" i="1"/>
  <c r="G33" i="1"/>
  <c r="F33" i="1"/>
  <c r="G49" i="1"/>
  <c r="F49" i="1"/>
  <c r="G65" i="1"/>
  <c r="F65" i="1"/>
  <c r="G81" i="1"/>
  <c r="F81" i="1"/>
  <c r="G97" i="1"/>
  <c r="F97" i="1"/>
  <c r="G34" i="1"/>
  <c r="F34" i="1"/>
  <c r="G82" i="1"/>
  <c r="F82" i="1"/>
  <c r="G7" i="1"/>
  <c r="G39" i="1"/>
  <c r="F39" i="1"/>
  <c r="G40" i="1"/>
  <c r="F40" i="1"/>
  <c r="G88" i="1"/>
  <c r="F88" i="1"/>
  <c r="G9" i="1"/>
  <c r="G57" i="1"/>
  <c r="F57" i="1"/>
  <c r="G54" i="1"/>
  <c r="F54" i="1"/>
  <c r="F14" i="1"/>
  <c r="G14" i="1"/>
  <c r="F30" i="1"/>
  <c r="G30" i="1"/>
  <c r="G46" i="1"/>
  <c r="F46" i="1"/>
  <c r="G62" i="1"/>
  <c r="F62" i="1"/>
  <c r="F78" i="1"/>
  <c r="G78" i="1"/>
  <c r="G94" i="1"/>
  <c r="F94" i="1"/>
  <c r="G3" i="1"/>
  <c r="F19" i="1"/>
  <c r="G19" i="1"/>
  <c r="F35" i="1"/>
  <c r="G35" i="1"/>
  <c r="F51" i="1"/>
  <c r="G51" i="1"/>
  <c r="F67" i="1"/>
  <c r="G67" i="1"/>
  <c r="F83" i="1"/>
  <c r="G83" i="1"/>
  <c r="F99" i="1"/>
  <c r="G99" i="1"/>
  <c r="G4" i="1"/>
  <c r="G20" i="1"/>
  <c r="F20" i="1"/>
  <c r="G36" i="1"/>
  <c r="F36" i="1"/>
  <c r="G52" i="1"/>
  <c r="F52" i="1"/>
  <c r="G68" i="1"/>
  <c r="F68" i="1"/>
  <c r="G84" i="1"/>
  <c r="F84" i="1"/>
  <c r="G100" i="1"/>
  <c r="F100" i="1"/>
  <c r="G5" i="1"/>
  <c r="G21" i="1"/>
  <c r="F21" i="1"/>
  <c r="G37" i="1"/>
  <c r="F37" i="1"/>
  <c r="G53" i="1"/>
  <c r="F53" i="1"/>
  <c r="G69" i="1"/>
  <c r="F69" i="1"/>
  <c r="G85" i="1"/>
  <c r="F85" i="1"/>
  <c r="G6" i="1"/>
  <c r="G2" i="1"/>
  <c r="F2" i="1"/>
  <c r="R28" i="1" l="1"/>
  <c r="R86" i="1"/>
  <c r="R46" i="1"/>
  <c r="R58" i="1"/>
  <c r="R97" i="1"/>
  <c r="R57" i="1"/>
  <c r="R69" i="1"/>
  <c r="R60" i="1"/>
  <c r="R75" i="1"/>
  <c r="R98" i="1"/>
  <c r="R84" i="1"/>
  <c r="R15" i="1"/>
  <c r="R89" i="1"/>
  <c r="R49" i="1"/>
  <c r="R76" i="1"/>
  <c r="R70" i="1"/>
  <c r="R30" i="1"/>
  <c r="R74" i="1"/>
  <c r="R24" i="1"/>
  <c r="R72" i="1"/>
  <c r="R20" i="1"/>
  <c r="R33" i="1"/>
  <c r="R92" i="1"/>
  <c r="R47" i="1"/>
  <c r="R14" i="1"/>
  <c r="R93" i="1"/>
  <c r="R90" i="1"/>
  <c r="R40" i="1"/>
  <c r="R41" i="1"/>
  <c r="R31" i="1"/>
  <c r="R96" i="1"/>
  <c r="R50" i="1"/>
  <c r="R64" i="1"/>
  <c r="R63" i="1"/>
  <c r="R39" i="1"/>
  <c r="R71" i="1"/>
  <c r="R13" i="1"/>
  <c r="R45" i="1"/>
  <c r="R21" i="1"/>
  <c r="R68" i="1"/>
  <c r="R83" i="1"/>
  <c r="R35" i="1"/>
  <c r="R66" i="1"/>
  <c r="R22" i="1"/>
  <c r="R26" i="1"/>
  <c r="R37" i="1"/>
  <c r="R80" i="1"/>
  <c r="R36" i="1"/>
  <c r="R78" i="1"/>
  <c r="R54" i="1"/>
  <c r="R88" i="1"/>
  <c r="R95" i="1"/>
  <c r="R79" i="1"/>
  <c r="R82" i="1"/>
  <c r="R62" i="1"/>
  <c r="R18" i="1"/>
  <c r="R52" i="1"/>
  <c r="R94" i="1"/>
  <c r="R42" i="1"/>
  <c r="R55" i="1"/>
  <c r="R87" i="1"/>
  <c r="R85" i="1"/>
  <c r="R61" i="1"/>
  <c r="R48" i="1"/>
  <c r="R99" i="1"/>
  <c r="R67" i="1"/>
  <c r="R51" i="1"/>
  <c r="R19" i="1"/>
  <c r="R77" i="1"/>
  <c r="R56" i="1"/>
  <c r="R29" i="1"/>
  <c r="R81" i="1"/>
  <c r="R17" i="1"/>
  <c r="R53" i="1"/>
  <c r="R100" i="1"/>
  <c r="R91" i="1"/>
  <c r="R59" i="1"/>
  <c r="R43" i="1"/>
  <c r="R27" i="1"/>
  <c r="R34" i="1"/>
  <c r="R25" i="1"/>
  <c r="R44" i="1"/>
  <c r="R16" i="1"/>
  <c r="R65" i="1"/>
  <c r="R32" i="1"/>
  <c r="R73" i="1"/>
  <c r="R38" i="1"/>
  <c r="R23" i="1"/>
  <c r="M2" i="1"/>
  <c r="Q2" i="1" s="1"/>
  <c r="L2" i="1"/>
  <c r="P2" i="1" s="1"/>
  <c r="K2" i="1"/>
  <c r="O2" i="1" s="1"/>
  <c r="J2" i="1"/>
  <c r="N2" i="1" s="1"/>
  <c r="L6" i="1"/>
  <c r="M6" i="1"/>
  <c r="Q6" i="1" s="1"/>
  <c r="J6" i="1"/>
  <c r="K6" i="1"/>
  <c r="O6" i="1" s="1"/>
  <c r="L3" i="1"/>
  <c r="M3" i="1"/>
  <c r="Q3" i="1" s="1"/>
  <c r="J3" i="1"/>
  <c r="N3" i="1" s="1"/>
  <c r="K3" i="1"/>
  <c r="O3" i="1" s="1"/>
  <c r="L4" i="1"/>
  <c r="K4" i="1"/>
  <c r="O4" i="1" s="1"/>
  <c r="M4" i="1"/>
  <c r="Q4" i="1" s="1"/>
  <c r="J4" i="1"/>
  <c r="N4" i="1" s="1"/>
  <c r="L9" i="1"/>
  <c r="M9" i="1"/>
  <c r="Q9" i="1" s="1"/>
  <c r="J9" i="1"/>
  <c r="N9" i="1" s="1"/>
  <c r="K9" i="1"/>
  <c r="O9" i="1" s="1"/>
  <c r="L7" i="1"/>
  <c r="M7" i="1"/>
  <c r="Q7" i="1" s="1"/>
  <c r="J7" i="1"/>
  <c r="K7" i="1"/>
  <c r="O7" i="1" s="1"/>
  <c r="L12" i="1"/>
  <c r="P12" i="1" s="1"/>
  <c r="M12" i="1"/>
  <c r="Q12" i="1" s="1"/>
  <c r="J12" i="1"/>
  <c r="N12" i="1" s="1"/>
  <c r="K12" i="1"/>
  <c r="O12" i="1" s="1"/>
  <c r="L11" i="1"/>
  <c r="P11" i="1" s="1"/>
  <c r="M11" i="1"/>
  <c r="Q11" i="1" s="1"/>
  <c r="J11" i="1"/>
  <c r="N11" i="1" s="1"/>
  <c r="K11" i="1"/>
  <c r="O11" i="1" s="1"/>
  <c r="L10" i="1"/>
  <c r="M10" i="1"/>
  <c r="Q10" i="1" s="1"/>
  <c r="J10" i="1"/>
  <c r="N10" i="1" s="1"/>
  <c r="K10" i="1"/>
  <c r="O10" i="1" s="1"/>
  <c r="L5" i="1"/>
  <c r="M5" i="1"/>
  <c r="Q5" i="1" s="1"/>
  <c r="K5" i="1"/>
  <c r="O5" i="1" s="1"/>
  <c r="J5" i="1"/>
  <c r="N5" i="1" s="1"/>
  <c r="L8" i="1"/>
  <c r="P8" i="1" s="1"/>
  <c r="M8" i="1"/>
  <c r="Q8" i="1" s="1"/>
  <c r="J8" i="1"/>
  <c r="N8" i="1" s="1"/>
  <c r="K8" i="1"/>
  <c r="O8" i="1" s="1"/>
  <c r="H4" i="1"/>
  <c r="N6" i="1"/>
  <c r="P10" i="1"/>
  <c r="P6" i="1"/>
  <c r="P4" i="1"/>
  <c r="N7" i="1"/>
  <c r="P7" i="1"/>
  <c r="P3" i="1"/>
  <c r="P9" i="1"/>
  <c r="P5" i="1"/>
  <c r="F4" i="1"/>
  <c r="F8" i="1"/>
  <c r="F7" i="1"/>
  <c r="F3" i="1"/>
  <c r="H77" i="1" s="1"/>
  <c r="F10" i="1"/>
  <c r="F6" i="1"/>
  <c r="F9" i="1"/>
  <c r="F5" i="1"/>
  <c r="B3" i="2" l="1"/>
  <c r="K3" i="2" s="1"/>
  <c r="H6" i="1"/>
  <c r="H67" i="1"/>
  <c r="H8" i="1"/>
  <c r="H5" i="1"/>
  <c r="H9" i="1"/>
  <c r="H29" i="1"/>
  <c r="H17" i="1"/>
  <c r="H81" i="1"/>
  <c r="H78" i="1"/>
  <c r="H73" i="1"/>
  <c r="H95" i="1"/>
  <c r="H80" i="1"/>
  <c r="H12" i="1"/>
  <c r="H76" i="1"/>
  <c r="H26" i="1"/>
  <c r="H90" i="1"/>
  <c r="H57" i="1"/>
  <c r="H45" i="1"/>
  <c r="H7" i="1"/>
  <c r="H99" i="1"/>
  <c r="H84" i="1"/>
  <c r="H38" i="1"/>
  <c r="H19" i="1"/>
  <c r="H68" i="1"/>
  <c r="H50" i="1"/>
  <c r="H59" i="1"/>
  <c r="H66" i="1"/>
  <c r="H33" i="1"/>
  <c r="H97" i="1"/>
  <c r="H14" i="1"/>
  <c r="H94" i="1"/>
  <c r="H56" i="1"/>
  <c r="H70" i="1"/>
  <c r="H18" i="1"/>
  <c r="H47" i="1"/>
  <c r="H16" i="1"/>
  <c r="H96" i="1"/>
  <c r="H60" i="1"/>
  <c r="H52" i="1"/>
  <c r="H39" i="1"/>
  <c r="H36" i="1"/>
  <c r="H85" i="1"/>
  <c r="H43" i="1"/>
  <c r="H88" i="1"/>
  <c r="H87" i="1"/>
  <c r="H89" i="1"/>
  <c r="H91" i="1"/>
  <c r="H28" i="1"/>
  <c r="H92" i="1"/>
  <c r="H42" i="1"/>
  <c r="H15" i="1"/>
  <c r="H54" i="1"/>
  <c r="H3" i="1"/>
  <c r="H30" i="1"/>
  <c r="H21" i="1"/>
  <c r="R12" i="1"/>
  <c r="H61" i="1"/>
  <c r="H51" i="1"/>
  <c r="H100" i="1"/>
  <c r="H98" i="1"/>
  <c r="H75" i="1"/>
  <c r="H25" i="1"/>
  <c r="H49" i="1"/>
  <c r="H34" i="1"/>
  <c r="H46" i="1"/>
  <c r="H83" i="1"/>
  <c r="H2" i="1"/>
  <c r="H11" i="1"/>
  <c r="H23" i="1"/>
  <c r="H63" i="1"/>
  <c r="H48" i="1"/>
  <c r="H53" i="1"/>
  <c r="H72" i="1"/>
  <c r="H74" i="1"/>
  <c r="H10" i="1"/>
  <c r="H44" i="1"/>
  <c r="H24" i="1"/>
  <c r="H58" i="1"/>
  <c r="H31" i="1"/>
  <c r="H93" i="1"/>
  <c r="H35" i="1"/>
  <c r="H20" i="1"/>
  <c r="H69" i="1"/>
  <c r="H82" i="1"/>
  <c r="H32" i="1"/>
  <c r="H37" i="1"/>
  <c r="H86" i="1"/>
  <c r="R11" i="1"/>
  <c r="H13" i="1"/>
  <c r="H22" i="1"/>
  <c r="H65" i="1"/>
  <c r="H40" i="1"/>
  <c r="H62" i="1"/>
  <c r="H55" i="1"/>
  <c r="H41" i="1"/>
  <c r="H27" i="1"/>
  <c r="H71" i="1"/>
  <c r="H79" i="1"/>
  <c r="H64" i="1"/>
  <c r="R2" i="1"/>
  <c r="R7" i="1"/>
  <c r="R4" i="1"/>
  <c r="R6" i="1"/>
  <c r="R8" i="1"/>
  <c r="R5" i="1"/>
  <c r="R9" i="1"/>
  <c r="R3" i="1"/>
  <c r="R10" i="1"/>
  <c r="C3" i="2" l="1"/>
  <c r="E3" i="2"/>
  <c r="I3" i="2"/>
  <c r="G3" i="2"/>
</calcChain>
</file>

<file path=xl/sharedStrings.xml><?xml version="1.0" encoding="utf-8"?>
<sst xmlns="http://schemas.openxmlformats.org/spreadsheetml/2006/main" count="306" uniqueCount="294">
  <si>
    <t>Group#</t>
  </si>
  <si>
    <t>StudentID</t>
  </si>
  <si>
    <t>Yes</t>
  </si>
  <si>
    <t>Group Numbers</t>
  </si>
  <si>
    <t xml:space="preserve">You will be marking  this group, they should be emailing you their .pdf answer file soon. </t>
  </si>
  <si>
    <t>Total number of groups</t>
  </si>
  <si>
    <t>Which Group to Mark</t>
  </si>
  <si>
    <t>Random Num</t>
  </si>
  <si>
    <t>which Group marked by</t>
  </si>
  <si>
    <t>Group Member 1</t>
  </si>
  <si>
    <t>Group Member 2</t>
  </si>
  <si>
    <t>Group Member 3</t>
  </si>
  <si>
    <t>Group Member 4</t>
  </si>
  <si>
    <t>Mailing List</t>
  </si>
  <si>
    <t>Present</t>
  </si>
  <si>
    <t>Was everyone from the group you are marking showing up in the zoom meeting picture? (are they all in the zoom meeting picture AND listed in the attendance area) MOST GROUPS HAVE 3 MEMBERS BUT SOME MIGHT HAVE 2 or 4 MEMBERS.  If you select NO below you will be able to enter which members of the group were present and which were absent.</t>
  </si>
  <si>
    <t>FINAL Mark that will be given to group members who showed up today.</t>
  </si>
  <si>
    <t>Group numbers again</t>
  </si>
  <si>
    <t>Number of members in each  group</t>
  </si>
  <si>
    <t xml:space="preserve">Enter marks here in this row --&gt; </t>
  </si>
  <si>
    <t>Used to remove blanks in column U</t>
  </si>
  <si>
    <t>Used to get a list of groups with no repeats</t>
  </si>
  <si>
    <t>TOTAL MARK OUT OF 2  (answers mark out of 1 + 1 mark for partcipating today)</t>
  </si>
  <si>
    <t>You will be marked by another group in our class. So you need  to email your answers (the  pdf file) when you have finished the .docx file and saved it according to naming instructions as a .pdf file by clicking on cell C3 (click below to send email…REMEMBER TO ATTACH YOUR .pdf FiLE)</t>
  </si>
  <si>
    <t>udauda</t>
  </si>
  <si>
    <t>shosse95</t>
  </si>
  <si>
    <t>mkleiboe</t>
  </si>
  <si>
    <t>xhuan364</t>
  </si>
  <si>
    <t>wxin3</t>
  </si>
  <si>
    <t>tyi6</t>
  </si>
  <si>
    <t>yli4542</t>
  </si>
  <si>
    <t>bwang489</t>
  </si>
  <si>
    <t>zwang863</t>
  </si>
  <si>
    <t>mjin64</t>
  </si>
  <si>
    <t>ksun48</t>
  </si>
  <si>
    <t>yxia226</t>
  </si>
  <si>
    <t>hchen884</t>
  </si>
  <si>
    <t>rwei26</t>
  </si>
  <si>
    <t>rwu252</t>
  </si>
  <si>
    <t>sghose6</t>
  </si>
  <si>
    <t>pjosep</t>
  </si>
  <si>
    <t>amali69</t>
  </si>
  <si>
    <t>rpaul52</t>
  </si>
  <si>
    <t>ochrist2</t>
  </si>
  <si>
    <t>bmacgil6</t>
  </si>
  <si>
    <t>ssilve29</t>
  </si>
  <si>
    <t>cmoorghe</t>
  </si>
  <si>
    <t>yxie273</t>
  </si>
  <si>
    <t>zxie86</t>
  </si>
  <si>
    <t>wdu53</t>
  </si>
  <si>
    <t>wsun228</t>
  </si>
  <si>
    <t>rzhu72</t>
  </si>
  <si>
    <t>akhanal3</t>
  </si>
  <si>
    <t>isahota4</t>
  </si>
  <si>
    <t>yzhou763</t>
  </si>
  <si>
    <t>rberde</t>
  </si>
  <si>
    <t>jmoriart</t>
  </si>
  <si>
    <t>mqures55</t>
  </si>
  <si>
    <t>xwan588</t>
  </si>
  <si>
    <t>ywu897</t>
  </si>
  <si>
    <t>jze</t>
  </si>
  <si>
    <t>hliu632</t>
  </si>
  <si>
    <t>yzhao962</t>
  </si>
  <si>
    <t>yzhu687</t>
  </si>
  <si>
    <t>jchi8</t>
  </si>
  <si>
    <t>qtan25</t>
  </si>
  <si>
    <t>jwan953</t>
  </si>
  <si>
    <t>xjin54</t>
  </si>
  <si>
    <t>jpate255</t>
  </si>
  <si>
    <t>asafdar4</t>
  </si>
  <si>
    <t>yche982</t>
  </si>
  <si>
    <t>tjing3</t>
  </si>
  <si>
    <t>ylu586</t>
  </si>
  <si>
    <t>mkhan787</t>
  </si>
  <si>
    <t>dle52</t>
  </si>
  <si>
    <t>tlee352</t>
  </si>
  <si>
    <t>hdodd3</t>
  </si>
  <si>
    <t>sghafou2</t>
  </si>
  <si>
    <t>azewde</t>
  </si>
  <si>
    <t>abrahmbh</t>
  </si>
  <si>
    <t>jbuckl8</t>
  </si>
  <si>
    <t>tjohn54</t>
  </si>
  <si>
    <t>lbanjani</t>
  </si>
  <si>
    <t>lfoxcro</t>
  </si>
  <si>
    <t>wmalisch</t>
  </si>
  <si>
    <t>yliu2865</t>
  </si>
  <si>
    <t>jyan332</t>
  </si>
  <si>
    <t>jzha5</t>
  </si>
  <si>
    <t>pchang32</t>
  </si>
  <si>
    <t>yche865</t>
  </si>
  <si>
    <t>wngo2</t>
  </si>
  <si>
    <t>aalmusaw</t>
  </si>
  <si>
    <t>iborwick</t>
  </si>
  <si>
    <t>kvu9</t>
  </si>
  <si>
    <t>tbuwadi</t>
  </si>
  <si>
    <t>jchaudha</t>
  </si>
  <si>
    <t>axu59</t>
  </si>
  <si>
    <t>dcho42</t>
  </si>
  <si>
    <t>ylin593</t>
  </si>
  <si>
    <t>jman22</t>
  </si>
  <si>
    <t>ldai45</t>
  </si>
  <si>
    <t>ylou33</t>
  </si>
  <si>
    <t>mstuar6</t>
  </si>
  <si>
    <t>labbas</t>
  </si>
  <si>
    <t>mmcgavi3</t>
  </si>
  <si>
    <t>tstonge2</t>
  </si>
  <si>
    <t>shu223</t>
  </si>
  <si>
    <t>yhuan753</t>
  </si>
  <si>
    <t>xzha453</t>
  </si>
  <si>
    <t>mgianco2</t>
  </si>
  <si>
    <t>wkalim</t>
  </si>
  <si>
    <t>vmuongso</t>
  </si>
  <si>
    <t>zchen882</t>
  </si>
  <si>
    <t>sjin85</t>
  </si>
  <si>
    <t>xxu462</t>
  </si>
  <si>
    <t>ccui29</t>
  </si>
  <si>
    <t>wliu379</t>
  </si>
  <si>
    <t>jyang496</t>
  </si>
  <si>
    <t>sahma87</t>
  </si>
  <si>
    <t>hhussien</t>
  </si>
  <si>
    <t>mskripch</t>
  </si>
  <si>
    <t>qji8</t>
  </si>
  <si>
    <t>cliu724</t>
  </si>
  <si>
    <t>ypu25</t>
  </si>
  <si>
    <t>sbhardw8</t>
  </si>
  <si>
    <t>echamb9</t>
  </si>
  <si>
    <t>vmakenth</t>
  </si>
  <si>
    <t>acarava3</t>
  </si>
  <si>
    <t>ccoelho6</t>
  </si>
  <si>
    <t>csuthe42</t>
  </si>
  <si>
    <t>nbohulev</t>
  </si>
  <si>
    <t>mtemniuk</t>
  </si>
  <si>
    <t>svecerak</t>
  </si>
  <si>
    <t>salam45</t>
  </si>
  <si>
    <t>cchuan5</t>
  </si>
  <si>
    <t>jkim2538</t>
  </si>
  <si>
    <t>negan</t>
  </si>
  <si>
    <t>jhillie7</t>
  </si>
  <si>
    <t>dwakefie</t>
  </si>
  <si>
    <t>bbuntin</t>
  </si>
  <si>
    <t>iokal</t>
  </si>
  <si>
    <t>lpopa</t>
  </si>
  <si>
    <t>basgharz</t>
  </si>
  <si>
    <t>fmoham26</t>
  </si>
  <si>
    <t>lnasehi</t>
  </si>
  <si>
    <t>jedwa5</t>
  </si>
  <si>
    <t>hfox6</t>
  </si>
  <si>
    <t>bhart4</t>
  </si>
  <si>
    <t>agreave5</t>
  </si>
  <si>
    <t>yli3456</t>
  </si>
  <si>
    <t>wmeyer2</t>
  </si>
  <si>
    <t>hahme3</t>
  </si>
  <si>
    <t>fmarinhe</t>
  </si>
  <si>
    <t>rszollos</t>
  </si>
  <si>
    <t>akhan827</t>
  </si>
  <si>
    <t>tlu62</t>
  </si>
  <si>
    <t>jgao334</t>
  </si>
  <si>
    <t>ckose</t>
  </si>
  <si>
    <t>spryadko</t>
  </si>
  <si>
    <t>khu72</t>
  </si>
  <si>
    <t>jlian82</t>
  </si>
  <si>
    <t>jxie257</t>
  </si>
  <si>
    <t>rkamalac</t>
  </si>
  <si>
    <t>emakris2</t>
  </si>
  <si>
    <t>lmalasan</t>
  </si>
  <si>
    <t>pakioyam</t>
  </si>
  <si>
    <t>khinnega</t>
  </si>
  <si>
    <t>crailto</t>
  </si>
  <si>
    <t>jberrafa</t>
  </si>
  <si>
    <t>hchung96</t>
  </si>
  <si>
    <t>msmosars</t>
  </si>
  <si>
    <t>chaines4</t>
  </si>
  <si>
    <t>smajews</t>
  </si>
  <si>
    <t>jmerri6</t>
  </si>
  <si>
    <t>ahung44</t>
  </si>
  <si>
    <t>tjabir</t>
  </si>
  <si>
    <t>twang563</t>
  </si>
  <si>
    <t>mkhan884</t>
  </si>
  <si>
    <t>zmomin2</t>
  </si>
  <si>
    <t>mzakar</t>
  </si>
  <si>
    <t>xge26</t>
  </si>
  <si>
    <t>eyin2</t>
  </si>
  <si>
    <t>bzargar</t>
  </si>
  <si>
    <t>sfriedri</t>
  </si>
  <si>
    <t>zkaawan</t>
  </si>
  <si>
    <t>alabras</t>
  </si>
  <si>
    <t>aliu294</t>
  </si>
  <si>
    <t>mtran256</t>
  </si>
  <si>
    <t>cyang377</t>
  </si>
  <si>
    <t>lgrabics</t>
  </si>
  <si>
    <t>khaugen</t>
  </si>
  <si>
    <t>jmontfo</t>
  </si>
  <si>
    <t>nfinn</t>
  </si>
  <si>
    <t>mho262</t>
  </si>
  <si>
    <t>iseco</t>
  </si>
  <si>
    <t>cdong49</t>
  </si>
  <si>
    <t>efidanza</t>
  </si>
  <si>
    <t>jmaxwe29</t>
  </si>
  <si>
    <t>tshi63</t>
  </si>
  <si>
    <t>mwang692</t>
  </si>
  <si>
    <t>xzha378</t>
  </si>
  <si>
    <t>lfan52</t>
  </si>
  <si>
    <t>fsong23</t>
  </si>
  <si>
    <t>zzhou385</t>
  </si>
  <si>
    <t>damrohi</t>
  </si>
  <si>
    <t>jarriola</t>
  </si>
  <si>
    <t>adam6</t>
  </si>
  <si>
    <t>rhenlin</t>
  </si>
  <si>
    <t>shogeter</t>
  </si>
  <si>
    <t>pnorton4</t>
  </si>
  <si>
    <t>manjos2</t>
  </si>
  <si>
    <t>ipaters2</t>
  </si>
  <si>
    <t>apaulley</t>
  </si>
  <si>
    <t>afishe64</t>
  </si>
  <si>
    <t>epenaloz</t>
  </si>
  <si>
    <t>nwong269</t>
  </si>
  <si>
    <t>ahusein3</t>
  </si>
  <si>
    <t>mlopezmi</t>
  </si>
  <si>
    <t>jwhitma2</t>
  </si>
  <si>
    <t>jli2689</t>
  </si>
  <si>
    <t>jwan992</t>
  </si>
  <si>
    <t>jwu583</t>
  </si>
  <si>
    <t>kbonsu3</t>
  </si>
  <si>
    <t>arahugna</t>
  </si>
  <si>
    <t>ewong385</t>
  </si>
  <si>
    <t>rna5</t>
  </si>
  <si>
    <t>xyang494</t>
  </si>
  <si>
    <t>szhan544</t>
  </si>
  <si>
    <t>mkim736</t>
  </si>
  <si>
    <t>amadan23</t>
  </si>
  <si>
    <t>asion</t>
  </si>
  <si>
    <t>abroekhu</t>
  </si>
  <si>
    <t>gdanaya</t>
  </si>
  <si>
    <t>jfiedler</t>
  </si>
  <si>
    <t>lgunn4</t>
  </si>
  <si>
    <t>cmarek2</t>
  </si>
  <si>
    <t>knguy47</t>
  </si>
  <si>
    <t>hkaawan</t>
  </si>
  <si>
    <t>snikpou2</t>
  </si>
  <si>
    <t>byousafz</t>
  </si>
  <si>
    <t>mmcmull4</t>
  </si>
  <si>
    <t>npattni</t>
  </si>
  <si>
    <t>dtruon6</t>
  </si>
  <si>
    <t>zliu855</t>
  </si>
  <si>
    <t>cshi62</t>
  </si>
  <si>
    <t>vzhang23</t>
  </si>
  <si>
    <t>sverma43</t>
  </si>
  <si>
    <t>azelifan</t>
  </si>
  <si>
    <t>yche2446</t>
  </si>
  <si>
    <t>nshen23</t>
  </si>
  <si>
    <t>jzha88</t>
  </si>
  <si>
    <t>aelfarr2</t>
  </si>
  <si>
    <t>afaid</t>
  </si>
  <si>
    <t>ifarid</t>
  </si>
  <si>
    <t>vbrancus</t>
  </si>
  <si>
    <t>icheong2</t>
  </si>
  <si>
    <t>ayung8</t>
  </si>
  <si>
    <t>mens3</t>
  </si>
  <si>
    <t>mmombou</t>
  </si>
  <si>
    <t>sshah443</t>
  </si>
  <si>
    <t>plakhesa</t>
  </si>
  <si>
    <t>ksharm69</t>
  </si>
  <si>
    <t>hsuventh</t>
  </si>
  <si>
    <t>sahsan27</t>
  </si>
  <si>
    <t>ababaryk</t>
  </si>
  <si>
    <t>cgonza28</t>
  </si>
  <si>
    <t>lbernar9</t>
  </si>
  <si>
    <t>moh32</t>
  </si>
  <si>
    <t>jwoo58</t>
  </si>
  <si>
    <t>narab2</t>
  </si>
  <si>
    <t>bau23</t>
  </si>
  <si>
    <t>hkhalif</t>
  </si>
  <si>
    <t>kpandza</t>
  </si>
  <si>
    <t>mspassov</t>
  </si>
  <si>
    <t>jwan489</t>
  </si>
  <si>
    <t>TOTAL MARK for the groups answers (3+3+4+6+6+6+6+6+10+10+10+6 = 76) Answer --&gt;  grouptotal/76*100</t>
  </si>
  <si>
    <r>
      <t xml:space="preserve">Once you have finished marking this group, save this excel file as </t>
    </r>
    <r>
      <rPr>
        <b/>
        <sz val="11"/>
        <color rgb="FFFF0000"/>
        <rFont val="Calibri"/>
        <family val="2"/>
        <scheme val="minor"/>
      </rPr>
      <t xml:space="preserve">flipped1_GroupNumberYoumarked_MarkedBy_GroupYourNumber.xlsm </t>
    </r>
    <r>
      <rPr>
        <b/>
        <sz val="11"/>
        <color theme="1"/>
        <rFont val="Calibri"/>
        <family val="2"/>
        <scheme val="minor"/>
      </rPr>
      <t xml:space="preserve">(example if you are group 74 and you marked group 76, then it will be </t>
    </r>
    <r>
      <rPr>
        <b/>
        <sz val="11"/>
        <color rgb="FFFF0000"/>
        <rFont val="Calibri"/>
        <family val="2"/>
        <scheme val="minor"/>
      </rPr>
      <t>flipped1_Group76_MarkedBy_Group74.xlsm</t>
    </r>
    <r>
      <rPr>
        <b/>
        <sz val="11"/>
        <color theme="1"/>
        <rFont val="Calibri"/>
        <family val="2"/>
        <scheme val="minor"/>
      </rPr>
      <t xml:space="preserve"> ) and have ONE member in your group  upload BOTH your answers .pdf file AND this Excel Peer marking file to your flipped one assignment in owl.  Only one member in your group needs to do this part. </t>
    </r>
  </si>
  <si>
    <r>
      <t xml:space="preserve">Select </t>
    </r>
    <r>
      <rPr>
        <b/>
        <sz val="20"/>
        <color rgb="FFFF0000"/>
        <rFont val="Calibri"/>
        <family val="2"/>
        <scheme val="minor"/>
      </rPr>
      <t>YOUR</t>
    </r>
    <r>
      <rPr>
        <sz val="20"/>
        <color rgb="FFFF0000"/>
        <rFont val="Calibri"/>
        <family val="2"/>
        <scheme val="minor"/>
      </rPr>
      <t xml:space="preserve"> group number from dropdown in the cell below:</t>
    </r>
  </si>
  <si>
    <t>Question 1 -Hashing --&gt; give 1 mark for the correct collison value and 3 marks for filling in the buckets correctly --&gt; Total of 4</t>
  </si>
  <si>
    <t>Question 1 - Hashing (out of 4)</t>
  </si>
  <si>
    <t xml:space="preserve">Question 1 - B+ Tree.  Starting at 10, deduct 1 mark for each mistake. Make sure they don’t forget the pointers or add extra pointers in. If it is mostly correct, don’t give a mark below 5. </t>
  </si>
  <si>
    <t xml:space="preserve">Question 2 - Relational Algebra - Give a mark out of 30. Give 3 marks for each of the 10 questions. </t>
  </si>
  <si>
    <t>Question 2 - Relational Algebra (out of 30 - 3 for each question)</t>
  </si>
  <si>
    <t>Question 1 - B+ tree (out of 10)</t>
  </si>
  <si>
    <t>Question 3 - The rows - give 3 marks for each table if the rows were correct, order of rows doesn’t matter(total of 15)</t>
  </si>
  <si>
    <t>Question 3 - Correct attributes for the tables. Give 2 marks for each table if the column headings were correct (total of 10)</t>
  </si>
  <si>
    <t xml:space="preserve">Question 3 - Filling  in the tables correctly - give 10 marks for the correct attributes (2 per table) and 15 marks for the rows (3 per table) </t>
  </si>
  <si>
    <t>Question 4 - B+ tree with bigger nodes</t>
  </si>
  <si>
    <t>Pick from dropdown</t>
  </si>
  <si>
    <t>It was sort of right</t>
  </si>
  <si>
    <t>it was very close to perfect</t>
  </si>
  <si>
    <t>It was FREAKING AWESOME</t>
  </si>
  <si>
    <t>Group never got to this question</t>
  </si>
  <si>
    <t>Flipped Classroom TWO --&gt; ONLY FILL IN/CLICK ON THE RED SHADED AREAS (the rest will fill in for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</si>
</sst>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FF0000"/>
      <name val="Calibri"/>
      <family val="2"/>
      <scheme val="minor"/>
    </font>
    <font>
      <b/>
      <sz val="11"/>
      <color theme="1"/>
      <name val="Calibri"/>
      <family val="2"/>
      <scheme val="minor"/>
    </font>
    <font>
      <sz val="20"/>
      <color rgb="FFFF0000"/>
      <name val="Calibri"/>
      <family val="2"/>
      <scheme val="minor"/>
    </font>
    <font>
      <b/>
      <sz val="28"/>
      <color rgb="FFFF0000"/>
      <name val="Calibri"/>
      <family val="2"/>
      <scheme val="minor"/>
    </font>
    <font>
      <b/>
      <sz val="18"/>
      <color theme="1"/>
      <name val="Calibri"/>
      <family val="2"/>
      <scheme val="minor"/>
    </font>
    <font>
      <b/>
      <sz val="16"/>
      <color theme="1"/>
      <name val="Calibri"/>
      <family val="2"/>
      <scheme val="minor"/>
    </font>
    <font>
      <u/>
      <sz val="11"/>
      <color theme="10"/>
      <name val="Calibri"/>
      <family val="2"/>
      <scheme val="minor"/>
    </font>
    <font>
      <b/>
      <sz val="11"/>
      <color theme="0"/>
      <name val="Calibri"/>
      <family val="2"/>
      <scheme val="minor"/>
    </font>
    <font>
      <b/>
      <sz val="36"/>
      <color theme="0"/>
      <name val="Calibri"/>
      <family val="2"/>
      <scheme val="minor"/>
    </font>
    <font>
      <b/>
      <sz val="14"/>
      <color theme="0"/>
      <name val="Calibri"/>
      <family val="2"/>
      <scheme val="minor"/>
    </font>
    <font>
      <b/>
      <sz val="16"/>
      <color theme="0"/>
      <name val="Calibri"/>
      <family val="2"/>
      <scheme val="minor"/>
    </font>
    <font>
      <b/>
      <u/>
      <sz val="16"/>
      <color theme="0"/>
      <name val="Calibri"/>
      <family val="2"/>
      <scheme val="minor"/>
    </font>
    <font>
      <b/>
      <sz val="20"/>
      <color rgb="FFFF0000"/>
      <name val="Calibri"/>
      <family val="2"/>
      <scheme val="minor"/>
    </font>
    <font>
      <sz val="11"/>
      <name val="Calibri"/>
      <family val="2"/>
      <scheme val="minor"/>
    </font>
    <font>
      <b/>
      <sz val="11"/>
      <color rgb="FFFF00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0000"/>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s>
  <cellStyleXfs count="2">
    <xf numFmtId="0" fontId="0" fillId="0" borderId="0"/>
    <xf numFmtId="0" fontId="7" fillId="0" borderId="0" applyNumberFormat="0" applyFill="0" applyBorder="0" applyAlignment="0" applyProtection="0"/>
  </cellStyleXfs>
  <cellXfs count="29">
    <xf numFmtId="0" fontId="0" fillId="0" borderId="0" xfId="0"/>
    <xf numFmtId="0" fontId="0" fillId="0" borderId="1" xfId="0" applyBorder="1" applyAlignment="1">
      <alignment horizontal="center"/>
    </xf>
    <xf numFmtId="0" fontId="0" fillId="0" borderId="0" xfId="0" applyProtection="1"/>
    <xf numFmtId="0" fontId="0" fillId="0" borderId="0" xfId="0" applyAlignment="1">
      <alignment wrapText="1"/>
    </xf>
    <xf numFmtId="0" fontId="2" fillId="0" borderId="1" xfId="0" applyFont="1" applyBorder="1" applyAlignment="1">
      <alignment horizontal="center" wrapText="1"/>
    </xf>
    <xf numFmtId="0" fontId="1" fillId="0" borderId="0" xfId="0" applyFont="1" applyAlignment="1" applyProtection="1">
      <alignment wrapText="1"/>
    </xf>
    <xf numFmtId="0" fontId="2" fillId="0" borderId="0" xfId="0" applyFont="1" applyAlignment="1">
      <alignment wrapText="1"/>
    </xf>
    <xf numFmtId="0" fontId="2" fillId="0" borderId="0" xfId="0" applyFont="1" applyAlignment="1">
      <alignment wrapText="1"/>
    </xf>
    <xf numFmtId="0" fontId="14" fillId="0" borderId="0" xfId="0" applyFont="1" applyAlignment="1" applyProtection="1">
      <alignment wrapText="1"/>
    </xf>
    <xf numFmtId="0" fontId="0" fillId="0" borderId="0" xfId="0" applyProtection="1">
      <protection locked="0"/>
    </xf>
    <xf numFmtId="0" fontId="9" fillId="5" borderId="0" xfId="0" applyFont="1" applyFill="1" applyProtection="1">
      <protection locked="0"/>
    </xf>
    <xf numFmtId="0" fontId="12" fillId="5" borderId="1" xfId="1" applyFont="1" applyFill="1" applyBorder="1" applyAlignment="1" applyProtection="1">
      <alignment wrapText="1"/>
      <protection locked="0"/>
    </xf>
    <xf numFmtId="0" fontId="11" fillId="5" borderId="0" xfId="0" applyFont="1" applyFill="1" applyProtection="1">
      <protection locked="0"/>
    </xf>
    <xf numFmtId="0" fontId="8" fillId="5" borderId="0" xfId="0" applyFont="1" applyFill="1" applyProtection="1">
      <protection locked="0"/>
    </xf>
    <xf numFmtId="0" fontId="10" fillId="5" borderId="2" xfId="0" applyFont="1" applyFill="1" applyBorder="1" applyProtection="1">
      <protection locked="0"/>
    </xf>
    <xf numFmtId="0" fontId="4" fillId="0" borderId="0" xfId="0" applyFont="1" applyProtection="1"/>
    <xf numFmtId="0" fontId="3" fillId="0" borderId="0" xfId="0" applyFont="1" applyAlignment="1" applyProtection="1">
      <alignment wrapText="1"/>
    </xf>
    <xf numFmtId="0" fontId="0" fillId="0" borderId="0" xfId="0" applyAlignment="1" applyProtection="1">
      <alignment wrapText="1"/>
    </xf>
    <xf numFmtId="0" fontId="2" fillId="2" borderId="2" xfId="0" applyFont="1" applyFill="1" applyBorder="1" applyAlignment="1" applyProtection="1">
      <alignment wrapText="1"/>
    </xf>
    <xf numFmtId="0" fontId="6" fillId="0" borderId="0" xfId="0" applyFont="1" applyProtection="1"/>
    <xf numFmtId="0" fontId="2" fillId="3" borderId="2" xfId="0" applyFont="1" applyFill="1" applyBorder="1" applyAlignment="1" applyProtection="1">
      <alignment wrapText="1"/>
    </xf>
    <xf numFmtId="0" fontId="2" fillId="4" borderId="2" xfId="0" applyFont="1" applyFill="1" applyBorder="1" applyAlignment="1" applyProtection="1">
      <alignment wrapText="1"/>
    </xf>
    <xf numFmtId="0" fontId="2" fillId="6" borderId="2" xfId="0" applyFont="1" applyFill="1" applyBorder="1" applyProtection="1"/>
    <xf numFmtId="0" fontId="2" fillId="0" borderId="0" xfId="0" applyFont="1" applyProtection="1"/>
    <xf numFmtId="0" fontId="2" fillId="3" borderId="2" xfId="0" applyFont="1" applyFill="1" applyBorder="1" applyAlignment="1" applyProtection="1">
      <alignment wrapText="1"/>
    </xf>
    <xf numFmtId="0" fontId="2" fillId="2" borderId="2" xfId="0" applyFont="1" applyFill="1" applyBorder="1" applyAlignment="1" applyProtection="1">
      <alignment wrapText="1"/>
    </xf>
    <xf numFmtId="0" fontId="2" fillId="3" borderId="2" xfId="0" applyFont="1" applyFill="1" applyBorder="1" applyAlignment="1" applyProtection="1">
      <alignment wrapText="1"/>
    </xf>
    <xf numFmtId="0" fontId="5" fillId="4" borderId="2" xfId="0" applyFont="1" applyFill="1" applyBorder="1" applyAlignment="1" applyProtection="1">
      <alignment wrapText="1"/>
    </xf>
    <xf numFmtId="0" fontId="2" fillId="0" borderId="0" xfId="0" applyFont="1" applyAlignment="1" applyProtection="1">
      <alignment wrapText="1"/>
    </xf>
  </cellXfs>
  <cellStyles count="2">
    <cellStyle name="Hyperlink" xfId="1" builtinId="8"/>
    <cellStyle name="Normal" xfId="0" builtinId="0"/>
  </cellStyles>
  <dxfs count="0"/>
  <tableStyles count="0" defaultTableStyle="TableStyleMedium2" defaultPivotStyle="PivotStyleLight16"/>
  <colors>
    <mruColors>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298"/>
  <sheetViews>
    <sheetView topLeftCell="A63" workbookViewId="0">
      <selection activeCell="H77" sqref="H77"/>
    </sheetView>
  </sheetViews>
  <sheetFormatPr baseColWidth="10" defaultColWidth="8.83203125" defaultRowHeight="15" x14ac:dyDescent="0.2"/>
  <cols>
    <col min="1" max="1" width="9.1640625" customWidth="1"/>
    <col min="2" max="2" width="14.1640625" customWidth="1"/>
    <col min="3" max="3" width="10.5" customWidth="1"/>
    <col min="4" max="4" width="8.33203125" customWidth="1"/>
    <col min="5" max="5" width="12" customWidth="1"/>
    <col min="6" max="6" width="10.33203125" customWidth="1"/>
    <col min="7" max="7" width="9.1640625" customWidth="1"/>
    <col min="8" max="8" width="11.6640625" customWidth="1"/>
    <col min="9" max="9" width="12.83203125" customWidth="1"/>
    <col min="10" max="10" width="11.83203125" customWidth="1"/>
    <col min="11" max="11" width="11.1640625" customWidth="1"/>
    <col min="12" max="12" width="10.5" customWidth="1"/>
    <col min="13" max="13" width="10.83203125" customWidth="1"/>
    <col min="14" max="14" width="13.83203125" customWidth="1"/>
    <col min="15" max="15" width="9.5" customWidth="1"/>
    <col min="16" max="16" width="8.1640625" customWidth="1"/>
    <col min="17" max="20" width="9.1640625" customWidth="1"/>
    <col min="21" max="21" width="14.5" customWidth="1"/>
    <col min="22" max="22" width="11" customWidth="1"/>
    <col min="23" max="25" width="9.1640625" customWidth="1"/>
  </cols>
  <sheetData>
    <row r="1" spans="1:22" s="3" customFormat="1" ht="56.25" customHeight="1" x14ac:dyDescent="0.2">
      <c r="A1" s="4" t="s">
        <v>0</v>
      </c>
      <c r="B1" s="4" t="s">
        <v>1</v>
      </c>
      <c r="C1" s="6" t="s">
        <v>5</v>
      </c>
      <c r="D1" s="6" t="s">
        <v>7</v>
      </c>
      <c r="E1" s="6" t="s">
        <v>3</v>
      </c>
      <c r="F1" s="6" t="s">
        <v>6</v>
      </c>
      <c r="G1" s="6" t="s">
        <v>17</v>
      </c>
      <c r="H1" s="6" t="s">
        <v>8</v>
      </c>
      <c r="I1" s="6" t="s">
        <v>18</v>
      </c>
      <c r="J1" s="6" t="s">
        <v>9</v>
      </c>
      <c r="K1" s="6" t="s">
        <v>10</v>
      </c>
      <c r="L1" s="6" t="s">
        <v>11</v>
      </c>
      <c r="M1" s="6" t="s">
        <v>12</v>
      </c>
      <c r="N1" s="6"/>
      <c r="O1" s="6"/>
      <c r="P1" s="6"/>
      <c r="Q1" s="6"/>
      <c r="R1" s="6" t="s">
        <v>13</v>
      </c>
      <c r="U1" s="7" t="s">
        <v>21</v>
      </c>
      <c r="V1" s="7" t="s">
        <v>20</v>
      </c>
    </row>
    <row r="2" spans="1:22" x14ac:dyDescent="0.2">
      <c r="A2">
        <v>1</v>
      </c>
      <c r="B2" t="s">
        <v>24</v>
      </c>
      <c r="C2">
        <f>MAX(A2:A299)</f>
        <v>84</v>
      </c>
      <c r="D2">
        <v>2</v>
      </c>
      <c r="E2" s="1">
        <f>V2</f>
        <v>1</v>
      </c>
      <c r="F2">
        <f>IF(E2+$D$2&gt;$C$2,E2+$D$2-$C$2, E2+$D$2)</f>
        <v>3</v>
      </c>
      <c r="G2">
        <f>E2</f>
        <v>1</v>
      </c>
      <c r="H2">
        <f>VLOOKUP(E2,F$2:G$100,2,FALSE)</f>
        <v>83</v>
      </c>
      <c r="I2">
        <f t="shared" ref="I2:I65" si="0">COUNTIF($A$2:$A$252,"="&amp;E2)</f>
        <v>3</v>
      </c>
      <c r="J2" t="str">
        <f t="shared" ref="J2:J65" si="1">IF($I2&gt;0,INDEX(A$2:B$349,MATCH($E2,A$2:A$349,0),2),"")</f>
        <v>udauda</v>
      </c>
      <c r="K2" t="str">
        <f t="shared" ref="K2:K65" si="2">IF($I2&gt;1,INDEX(A$2:B$349,MATCH($E2,A$2:A$349,0)+1,2),"")</f>
        <v>shosse95</v>
      </c>
      <c r="L2" t="str">
        <f t="shared" ref="L2:L65" si="3">IF($I2&gt;2,INDEX(A$2:B$349,MATCH($E2,A$2:A$349,0)+2,2),"")</f>
        <v>mkleiboe</v>
      </c>
      <c r="M2" t="str">
        <f t="shared" ref="M2:M65" si="4">IF($I2&gt;3,INDEX(A$2:B$349,MATCH($E2,A$2:A$349,0)+3,2),"")</f>
        <v/>
      </c>
      <c r="N2" t="str">
        <f t="shared" ref="N2:P2" si="5">IF(J2&lt;&gt;"",CONCATENATE(J2,"@uwo.ca",""),"")</f>
        <v>udauda@uwo.ca</v>
      </c>
      <c r="O2" t="str">
        <f t="shared" si="5"/>
        <v>shosse95@uwo.ca</v>
      </c>
      <c r="P2" t="str">
        <f t="shared" si="5"/>
        <v>mkleiboe@uwo.ca</v>
      </c>
      <c r="Q2" t="str">
        <f t="shared" ref="Q2:Q10" si="6">IF(M2&lt;&gt;"",CONCATENATE(M2,"@uwo.ca",""),"")</f>
        <v/>
      </c>
      <c r="R2" t="str">
        <f>N2&amp;IF(O2&lt;&gt;"",";"&amp;O2,"")&amp;IF(P2&lt;&gt;"",";"&amp;P2,"")&amp;IF(Q2&lt;&gt;"",";"&amp;Q2,"")</f>
        <v>udauda@uwo.ca;shosse95@uwo.ca;mkleiboe@uwo.ca</v>
      </c>
      <c r="U2">
        <f>IF(COUNTIF($A$2:$A2,$A2)=1,$A2,"")</f>
        <v>1</v>
      </c>
      <c r="V2">
        <f>IFERROR(INDEX($U$2:$U$349,_xlfn.AGGREGATE(15,6,(ROW($U$2:$U$349)-ROW($U$2)+1)/($U$2:$U$349&lt;&gt;""),ROWS(V$2:V2))),"")</f>
        <v>1</v>
      </c>
    </row>
    <row r="3" spans="1:22" x14ac:dyDescent="0.2">
      <c r="A3">
        <v>1</v>
      </c>
      <c r="B3" t="s">
        <v>25</v>
      </c>
      <c r="E3" s="1">
        <f t="shared" ref="E3:E16" si="7">V3</f>
        <v>2</v>
      </c>
      <c r="F3">
        <f t="shared" ref="F3:F66" si="8">IF(E3+$D$2&gt;$C$2,E3+$D$2-$C$2, E3+$D$2)</f>
        <v>4</v>
      </c>
      <c r="G3">
        <f t="shared" ref="G3:G66" si="9">E3</f>
        <v>2</v>
      </c>
      <c r="H3">
        <f t="shared" ref="H3:H66" si="10">VLOOKUP(E3,F$2:G$100,2,FALSE)</f>
        <v>84</v>
      </c>
      <c r="I3">
        <f t="shared" si="0"/>
        <v>3</v>
      </c>
      <c r="J3" t="str">
        <f t="shared" si="1"/>
        <v>xhuan364</v>
      </c>
      <c r="K3" t="str">
        <f t="shared" si="2"/>
        <v>wxin3</v>
      </c>
      <c r="L3" t="str">
        <f t="shared" si="3"/>
        <v>tyi6</v>
      </c>
      <c r="M3" t="str">
        <f t="shared" si="4"/>
        <v/>
      </c>
      <c r="N3" t="str">
        <f t="shared" ref="N3:N10" si="11">IF(J3&lt;&gt;"",CONCATENATE(J3,"@uwo.ca",""),"")</f>
        <v>xhuan364@uwo.ca</v>
      </c>
      <c r="O3" t="str">
        <f t="shared" ref="O3:O10" si="12">IF(K3&lt;&gt;"",CONCATENATE(K3,"@uwo.ca",""),"")</f>
        <v>wxin3@uwo.ca</v>
      </c>
      <c r="P3" t="str">
        <f t="shared" ref="P3:P10" si="13">IF(L3&lt;&gt;"",CONCATENATE(L3,"@uwo.ca",""),"")</f>
        <v>tyi6@uwo.ca</v>
      </c>
      <c r="Q3" t="str">
        <f t="shared" si="6"/>
        <v/>
      </c>
      <c r="R3" t="str">
        <f t="shared" ref="R3:R10" si="14">N3&amp;IF(O3&lt;&gt;"",";"&amp;O3,"")&amp;IF(P3&lt;&gt;"",";"&amp;P3,"")&amp;IF(Q3&lt;&gt;"",";"&amp;Q3,"")</f>
        <v>xhuan364@uwo.ca;wxin3@uwo.ca;tyi6@uwo.ca</v>
      </c>
      <c r="U3" t="str">
        <f>IF(COUNTIF($A$2:$A3,$A3)=1,$A3,"")</f>
        <v/>
      </c>
      <c r="V3">
        <f>IFERROR(INDEX($U$2:$U$349,_xlfn.AGGREGATE(15,6,(ROW($U$2:$U$349)-ROW($U$2)+1)/($U$2:$U$349&lt;&gt;""),ROWS(V$2:V3))),"")</f>
        <v>2</v>
      </c>
    </row>
    <row r="4" spans="1:22" x14ac:dyDescent="0.2">
      <c r="A4">
        <v>1</v>
      </c>
      <c r="B4" t="s">
        <v>26</v>
      </c>
      <c r="E4" s="1">
        <f t="shared" si="7"/>
        <v>3</v>
      </c>
      <c r="F4">
        <f t="shared" si="8"/>
        <v>5</v>
      </c>
      <c r="G4">
        <f t="shared" si="9"/>
        <v>3</v>
      </c>
      <c r="H4">
        <f t="shared" si="10"/>
        <v>1</v>
      </c>
      <c r="I4">
        <f t="shared" si="0"/>
        <v>3</v>
      </c>
      <c r="J4" t="str">
        <f t="shared" si="1"/>
        <v>yli4542</v>
      </c>
      <c r="K4" t="str">
        <f t="shared" si="2"/>
        <v>bwang489</v>
      </c>
      <c r="L4" t="str">
        <f t="shared" si="3"/>
        <v>zwang863</v>
      </c>
      <c r="M4" t="str">
        <f t="shared" si="4"/>
        <v/>
      </c>
      <c r="N4" t="str">
        <f t="shared" si="11"/>
        <v>yli4542@uwo.ca</v>
      </c>
      <c r="O4" t="str">
        <f t="shared" si="12"/>
        <v>bwang489@uwo.ca</v>
      </c>
      <c r="P4" t="str">
        <f t="shared" si="13"/>
        <v>zwang863@uwo.ca</v>
      </c>
      <c r="Q4" t="str">
        <f t="shared" si="6"/>
        <v/>
      </c>
      <c r="R4" t="str">
        <f t="shared" si="14"/>
        <v>yli4542@uwo.ca;bwang489@uwo.ca;zwang863@uwo.ca</v>
      </c>
      <c r="U4" t="str">
        <f>IF(COUNTIF($A$2:$A4,$A4)=1,$A4,"")</f>
        <v/>
      </c>
      <c r="V4">
        <f>IFERROR(INDEX($U$2:$U$349,_xlfn.AGGREGATE(15,6,(ROW($U$2:$U$349)-ROW($U$2)+1)/($U$2:$U$349&lt;&gt;""),ROWS(V$2:V4))),"")</f>
        <v>3</v>
      </c>
    </row>
    <row r="5" spans="1:22" x14ac:dyDescent="0.2">
      <c r="A5">
        <v>2</v>
      </c>
      <c r="B5" t="s">
        <v>27</v>
      </c>
      <c r="E5" s="1">
        <f t="shared" si="7"/>
        <v>4</v>
      </c>
      <c r="F5">
        <f t="shared" si="8"/>
        <v>6</v>
      </c>
      <c r="G5">
        <f t="shared" si="9"/>
        <v>4</v>
      </c>
      <c r="H5">
        <f t="shared" si="10"/>
        <v>2</v>
      </c>
      <c r="I5">
        <f t="shared" si="0"/>
        <v>3</v>
      </c>
      <c r="J5" t="str">
        <f t="shared" si="1"/>
        <v>mjin64</v>
      </c>
      <c r="K5" t="str">
        <f t="shared" si="2"/>
        <v>ksun48</v>
      </c>
      <c r="L5" t="str">
        <f t="shared" si="3"/>
        <v>yxia226</v>
      </c>
      <c r="M5" t="str">
        <f t="shared" si="4"/>
        <v/>
      </c>
      <c r="N5" t="str">
        <f t="shared" si="11"/>
        <v>mjin64@uwo.ca</v>
      </c>
      <c r="O5" t="str">
        <f t="shared" si="12"/>
        <v>ksun48@uwo.ca</v>
      </c>
      <c r="P5" t="str">
        <f t="shared" si="13"/>
        <v>yxia226@uwo.ca</v>
      </c>
      <c r="Q5" t="str">
        <f t="shared" si="6"/>
        <v/>
      </c>
      <c r="R5" t="str">
        <f t="shared" si="14"/>
        <v>mjin64@uwo.ca;ksun48@uwo.ca;yxia226@uwo.ca</v>
      </c>
      <c r="U5">
        <f>IF(COUNTIF($A$2:$A5,$A5)=1,$A5,"")</f>
        <v>2</v>
      </c>
      <c r="V5">
        <f>IFERROR(INDEX($U$2:$U$349,_xlfn.AGGREGATE(15,6,(ROW($U$2:$U$349)-ROW($U$2)+1)/($U$2:$U$349&lt;&gt;""),ROWS(V$2:V5))),"")</f>
        <v>4</v>
      </c>
    </row>
    <row r="6" spans="1:22" x14ac:dyDescent="0.2">
      <c r="A6">
        <v>2</v>
      </c>
      <c r="B6" t="s">
        <v>28</v>
      </c>
      <c r="E6" s="1">
        <f t="shared" si="7"/>
        <v>5</v>
      </c>
      <c r="F6">
        <f t="shared" si="8"/>
        <v>7</v>
      </c>
      <c r="G6">
        <f t="shared" si="9"/>
        <v>5</v>
      </c>
      <c r="H6">
        <f t="shared" si="10"/>
        <v>3</v>
      </c>
      <c r="I6">
        <f t="shared" si="0"/>
        <v>3</v>
      </c>
      <c r="J6" t="str">
        <f t="shared" si="1"/>
        <v>hchen884</v>
      </c>
      <c r="K6" t="str">
        <f t="shared" si="2"/>
        <v>rwei26</v>
      </c>
      <c r="L6" t="str">
        <f t="shared" si="3"/>
        <v>rwu252</v>
      </c>
      <c r="M6" t="str">
        <f t="shared" si="4"/>
        <v/>
      </c>
      <c r="N6" t="str">
        <f t="shared" si="11"/>
        <v>hchen884@uwo.ca</v>
      </c>
      <c r="O6" t="str">
        <f t="shared" si="12"/>
        <v>rwei26@uwo.ca</v>
      </c>
      <c r="P6" t="str">
        <f t="shared" si="13"/>
        <v>rwu252@uwo.ca</v>
      </c>
      <c r="Q6" t="str">
        <f t="shared" si="6"/>
        <v/>
      </c>
      <c r="R6" t="str">
        <f t="shared" si="14"/>
        <v>hchen884@uwo.ca;rwei26@uwo.ca;rwu252@uwo.ca</v>
      </c>
      <c r="U6" t="str">
        <f>IF(COUNTIF($A$2:$A6,$A6)=1,$A6,"")</f>
        <v/>
      </c>
      <c r="V6">
        <f>IFERROR(INDEX($U$2:$U$349,_xlfn.AGGREGATE(15,6,(ROW($U$2:$U$349)-ROW($U$2)+1)/($U$2:$U$349&lt;&gt;""),ROWS(V$2:V6))),"")</f>
        <v>5</v>
      </c>
    </row>
    <row r="7" spans="1:22" x14ac:dyDescent="0.2">
      <c r="A7">
        <v>2</v>
      </c>
      <c r="B7" t="s">
        <v>29</v>
      </c>
      <c r="E7" s="1">
        <f t="shared" si="7"/>
        <v>6</v>
      </c>
      <c r="F7">
        <f t="shared" si="8"/>
        <v>8</v>
      </c>
      <c r="G7">
        <f t="shared" si="9"/>
        <v>6</v>
      </c>
      <c r="H7">
        <f t="shared" si="10"/>
        <v>4</v>
      </c>
      <c r="I7">
        <f t="shared" si="0"/>
        <v>4</v>
      </c>
      <c r="J7" t="str">
        <f t="shared" si="1"/>
        <v>sghose6</v>
      </c>
      <c r="K7" t="str">
        <f t="shared" si="2"/>
        <v>pjosep</v>
      </c>
      <c r="L7" t="str">
        <f t="shared" si="3"/>
        <v>amali69</v>
      </c>
      <c r="M7" t="str">
        <f t="shared" si="4"/>
        <v>rpaul52</v>
      </c>
      <c r="N7" t="str">
        <f t="shared" si="11"/>
        <v>sghose6@uwo.ca</v>
      </c>
      <c r="O7" t="str">
        <f t="shared" si="12"/>
        <v>pjosep@uwo.ca</v>
      </c>
      <c r="P7" t="str">
        <f t="shared" si="13"/>
        <v>amali69@uwo.ca</v>
      </c>
      <c r="Q7" t="str">
        <f t="shared" si="6"/>
        <v>rpaul52@uwo.ca</v>
      </c>
      <c r="R7" t="str">
        <f t="shared" si="14"/>
        <v>sghose6@uwo.ca;pjosep@uwo.ca;amali69@uwo.ca;rpaul52@uwo.ca</v>
      </c>
      <c r="U7" t="str">
        <f>IF(COUNTIF($A$2:$A7,$A7)=1,$A7,"")</f>
        <v/>
      </c>
      <c r="V7">
        <f>IFERROR(INDEX($U$2:$U$349,_xlfn.AGGREGATE(15,6,(ROW($U$2:$U$349)-ROW($U$2)+1)/($U$2:$U$349&lt;&gt;""),ROWS(V$2:V7))),"")</f>
        <v>6</v>
      </c>
    </row>
    <row r="8" spans="1:22" x14ac:dyDescent="0.2">
      <c r="A8">
        <v>3</v>
      </c>
      <c r="B8" t="s">
        <v>30</v>
      </c>
      <c r="E8" s="1">
        <f t="shared" si="7"/>
        <v>7</v>
      </c>
      <c r="F8">
        <f t="shared" si="8"/>
        <v>9</v>
      </c>
      <c r="G8">
        <f t="shared" si="9"/>
        <v>7</v>
      </c>
      <c r="H8">
        <f t="shared" si="10"/>
        <v>5</v>
      </c>
      <c r="I8">
        <f t="shared" si="0"/>
        <v>3</v>
      </c>
      <c r="J8" t="str">
        <f t="shared" si="1"/>
        <v>ochrist2</v>
      </c>
      <c r="K8" t="str">
        <f t="shared" si="2"/>
        <v>bmacgil6</v>
      </c>
      <c r="L8" t="str">
        <f t="shared" si="3"/>
        <v>ssilve29</v>
      </c>
      <c r="M8" t="str">
        <f t="shared" si="4"/>
        <v/>
      </c>
      <c r="N8" t="str">
        <f t="shared" si="11"/>
        <v>ochrist2@uwo.ca</v>
      </c>
      <c r="O8" t="str">
        <f t="shared" si="12"/>
        <v>bmacgil6@uwo.ca</v>
      </c>
      <c r="P8" t="str">
        <f t="shared" si="13"/>
        <v>ssilve29@uwo.ca</v>
      </c>
      <c r="Q8" t="str">
        <f t="shared" si="6"/>
        <v/>
      </c>
      <c r="R8" t="str">
        <f t="shared" si="14"/>
        <v>ochrist2@uwo.ca;bmacgil6@uwo.ca;ssilve29@uwo.ca</v>
      </c>
      <c r="U8">
        <f>IF(COUNTIF($A$2:$A8,$A8)=1,$A8,"")</f>
        <v>3</v>
      </c>
      <c r="V8">
        <f>IFERROR(INDEX($U$2:$U$349,_xlfn.AGGREGATE(15,6,(ROW($U$2:$U$349)-ROW($U$2)+1)/($U$2:$U$349&lt;&gt;""),ROWS(V$2:V8))),"")</f>
        <v>7</v>
      </c>
    </row>
    <row r="9" spans="1:22" x14ac:dyDescent="0.2">
      <c r="A9">
        <v>3</v>
      </c>
      <c r="B9" t="s">
        <v>31</v>
      </c>
      <c r="E9" s="1">
        <f t="shared" si="7"/>
        <v>8</v>
      </c>
      <c r="F9">
        <f t="shared" si="8"/>
        <v>10</v>
      </c>
      <c r="G9">
        <f t="shared" si="9"/>
        <v>8</v>
      </c>
      <c r="H9">
        <f t="shared" si="10"/>
        <v>6</v>
      </c>
      <c r="I9">
        <f t="shared" si="0"/>
        <v>3</v>
      </c>
      <c r="J9" t="str">
        <f t="shared" si="1"/>
        <v>cmoorghe</v>
      </c>
      <c r="K9" t="str">
        <f t="shared" si="2"/>
        <v>yxie273</v>
      </c>
      <c r="L9" t="str">
        <f t="shared" si="3"/>
        <v>zxie86</v>
      </c>
      <c r="M9" t="str">
        <f t="shared" si="4"/>
        <v/>
      </c>
      <c r="N9" t="str">
        <f t="shared" si="11"/>
        <v>cmoorghe@uwo.ca</v>
      </c>
      <c r="O9" t="str">
        <f t="shared" si="12"/>
        <v>yxie273@uwo.ca</v>
      </c>
      <c r="P9" t="str">
        <f t="shared" si="13"/>
        <v>zxie86@uwo.ca</v>
      </c>
      <c r="Q9" t="str">
        <f t="shared" si="6"/>
        <v/>
      </c>
      <c r="R9" t="str">
        <f t="shared" si="14"/>
        <v>cmoorghe@uwo.ca;yxie273@uwo.ca;zxie86@uwo.ca</v>
      </c>
      <c r="U9" t="str">
        <f>IF(COUNTIF($A$2:$A9,$A9)=1,$A9,"")</f>
        <v/>
      </c>
      <c r="V9">
        <f>IFERROR(INDEX($U$2:$U$349,_xlfn.AGGREGATE(15,6,(ROW($U$2:$U$349)-ROW($U$2)+1)/($U$2:$U$349&lt;&gt;""),ROWS(V$2:V9))),"")</f>
        <v>8</v>
      </c>
    </row>
    <row r="10" spans="1:22" x14ac:dyDescent="0.2">
      <c r="A10">
        <v>3</v>
      </c>
      <c r="B10" t="s">
        <v>32</v>
      </c>
      <c r="E10" s="1">
        <f t="shared" si="7"/>
        <v>9</v>
      </c>
      <c r="F10">
        <f t="shared" si="8"/>
        <v>11</v>
      </c>
      <c r="G10">
        <f t="shared" si="9"/>
        <v>9</v>
      </c>
      <c r="H10">
        <f t="shared" si="10"/>
        <v>7</v>
      </c>
      <c r="I10">
        <f t="shared" si="0"/>
        <v>3</v>
      </c>
      <c r="J10" t="str">
        <f t="shared" si="1"/>
        <v>wdu53</v>
      </c>
      <c r="K10" t="str">
        <f t="shared" si="2"/>
        <v>wsun228</v>
      </c>
      <c r="L10" t="str">
        <f t="shared" si="3"/>
        <v>rzhu72</v>
      </c>
      <c r="M10" t="str">
        <f t="shared" si="4"/>
        <v/>
      </c>
      <c r="N10" t="str">
        <f t="shared" si="11"/>
        <v>wdu53@uwo.ca</v>
      </c>
      <c r="O10" t="str">
        <f t="shared" si="12"/>
        <v>wsun228@uwo.ca</v>
      </c>
      <c r="P10" t="str">
        <f t="shared" si="13"/>
        <v>rzhu72@uwo.ca</v>
      </c>
      <c r="Q10" t="str">
        <f t="shared" si="6"/>
        <v/>
      </c>
      <c r="R10" t="str">
        <f t="shared" si="14"/>
        <v>wdu53@uwo.ca;wsun228@uwo.ca;rzhu72@uwo.ca</v>
      </c>
      <c r="U10" t="str">
        <f>IF(COUNTIF($A$2:$A10,$A10)=1,$A10,"")</f>
        <v/>
      </c>
      <c r="V10">
        <f>IFERROR(INDEX($U$2:$U$349,_xlfn.AGGREGATE(15,6,(ROW($U$2:$U$349)-ROW($U$2)+1)/($U$2:$U$349&lt;&gt;""),ROWS(V$2:V10))),"")</f>
        <v>9</v>
      </c>
    </row>
    <row r="11" spans="1:22" x14ac:dyDescent="0.2">
      <c r="A11">
        <v>4</v>
      </c>
      <c r="B11" t="s">
        <v>33</v>
      </c>
      <c r="E11" s="1">
        <f t="shared" si="7"/>
        <v>10</v>
      </c>
      <c r="F11">
        <f t="shared" si="8"/>
        <v>12</v>
      </c>
      <c r="G11">
        <f t="shared" si="9"/>
        <v>10</v>
      </c>
      <c r="H11">
        <f t="shared" si="10"/>
        <v>8</v>
      </c>
      <c r="I11">
        <f t="shared" si="0"/>
        <v>3</v>
      </c>
      <c r="J11" t="str">
        <f t="shared" si="1"/>
        <v>akhanal3</v>
      </c>
      <c r="K11" t="str">
        <f t="shared" si="2"/>
        <v>isahota4</v>
      </c>
      <c r="L11" t="str">
        <f t="shared" si="3"/>
        <v>yzhou763</v>
      </c>
      <c r="M11" t="str">
        <f t="shared" si="4"/>
        <v/>
      </c>
      <c r="N11" t="str">
        <f t="shared" ref="N11:N12" si="15">IF(J11&lt;&gt;"",CONCATENATE(J11,"@uwo.ca",""),"")</f>
        <v>akhanal3@uwo.ca</v>
      </c>
      <c r="O11" t="str">
        <f t="shared" ref="O11:O12" si="16">IF(K11&lt;&gt;"",CONCATENATE(K11,"@uwo.ca",""),"")</f>
        <v>isahota4@uwo.ca</v>
      </c>
      <c r="P11" t="str">
        <f t="shared" ref="P11:P12" si="17">IF(L11&lt;&gt;"",CONCATENATE(L11,"@uwo.ca",""),"")</f>
        <v>yzhou763@uwo.ca</v>
      </c>
      <c r="Q11" t="str">
        <f t="shared" ref="Q11:Q12" si="18">IF(M11&lt;&gt;"",CONCATENATE(M11,"@uwo.ca",""),"")</f>
        <v/>
      </c>
      <c r="R11" t="str">
        <f t="shared" ref="R11:R12" si="19">N11&amp;IF(O11&lt;&gt;"",";"&amp;O11,"")&amp;IF(P11&lt;&gt;"",";"&amp;P11,"")&amp;IF(Q11&lt;&gt;"",";"&amp;Q11,"")</f>
        <v>akhanal3@uwo.ca;isahota4@uwo.ca;yzhou763@uwo.ca</v>
      </c>
      <c r="U11">
        <f>IF(COUNTIF($A$2:$A11,$A11)=1,$A11,"")</f>
        <v>4</v>
      </c>
      <c r="V11">
        <f>IFERROR(INDEX($U$2:$U$349,_xlfn.AGGREGATE(15,6,(ROW($U$2:$U$349)-ROW($U$2)+1)/($U$2:$U$349&lt;&gt;""),ROWS(V$2:V11))),"")</f>
        <v>10</v>
      </c>
    </row>
    <row r="12" spans="1:22" x14ac:dyDescent="0.2">
      <c r="A12">
        <v>4</v>
      </c>
      <c r="B12" t="s">
        <v>34</v>
      </c>
      <c r="E12" s="1">
        <f t="shared" si="7"/>
        <v>11</v>
      </c>
      <c r="F12">
        <f t="shared" si="8"/>
        <v>13</v>
      </c>
      <c r="G12">
        <f t="shared" si="9"/>
        <v>11</v>
      </c>
      <c r="H12">
        <f t="shared" si="10"/>
        <v>9</v>
      </c>
      <c r="I12">
        <f t="shared" si="0"/>
        <v>3</v>
      </c>
      <c r="J12" t="str">
        <f t="shared" si="1"/>
        <v>rberde</v>
      </c>
      <c r="K12" t="str">
        <f t="shared" si="2"/>
        <v>jmoriart</v>
      </c>
      <c r="L12" t="str">
        <f t="shared" si="3"/>
        <v>mqures55</v>
      </c>
      <c r="M12" t="str">
        <f t="shared" si="4"/>
        <v/>
      </c>
      <c r="N12" t="str">
        <f t="shared" si="15"/>
        <v>rberde@uwo.ca</v>
      </c>
      <c r="O12" t="str">
        <f t="shared" si="16"/>
        <v>jmoriart@uwo.ca</v>
      </c>
      <c r="P12" t="str">
        <f t="shared" si="17"/>
        <v>mqures55@uwo.ca</v>
      </c>
      <c r="Q12" t="str">
        <f t="shared" si="18"/>
        <v/>
      </c>
      <c r="R12" t="str">
        <f t="shared" si="19"/>
        <v>rberde@uwo.ca;jmoriart@uwo.ca;mqures55@uwo.ca</v>
      </c>
      <c r="U12" t="str">
        <f>IF(COUNTIF($A$2:$A12,$A12)=1,$A12,"")</f>
        <v/>
      </c>
      <c r="V12">
        <f>IFERROR(INDEX($U$2:$U$349,_xlfn.AGGREGATE(15,6,(ROW($U$2:$U$349)-ROW($U$2)+1)/($U$2:$U$349&lt;&gt;""),ROWS(V$2:V12))),"")</f>
        <v>11</v>
      </c>
    </row>
    <row r="13" spans="1:22" x14ac:dyDescent="0.2">
      <c r="A13">
        <v>4</v>
      </c>
      <c r="B13" t="s">
        <v>35</v>
      </c>
      <c r="E13" s="1">
        <f t="shared" si="7"/>
        <v>12</v>
      </c>
      <c r="F13">
        <f t="shared" si="8"/>
        <v>14</v>
      </c>
      <c r="G13">
        <f t="shared" si="9"/>
        <v>12</v>
      </c>
      <c r="H13">
        <f t="shared" si="10"/>
        <v>10</v>
      </c>
      <c r="I13">
        <f t="shared" si="0"/>
        <v>3</v>
      </c>
      <c r="J13" t="str">
        <f t="shared" si="1"/>
        <v>xwan588</v>
      </c>
      <c r="K13" t="str">
        <f t="shared" si="2"/>
        <v>ywu897</v>
      </c>
      <c r="L13" t="str">
        <f t="shared" si="3"/>
        <v>jze</v>
      </c>
      <c r="M13" t="str">
        <f t="shared" si="4"/>
        <v/>
      </c>
      <c r="N13" t="str">
        <f t="shared" ref="N13:N76" si="20">IF(J13&lt;&gt;"",CONCATENATE(J13,"@uwo.ca",""),"")</f>
        <v>xwan588@uwo.ca</v>
      </c>
      <c r="O13" t="str">
        <f t="shared" ref="O13:O76" si="21">IF(K13&lt;&gt;"",CONCATENATE(K13,"@uwo.ca",""),"")</f>
        <v>ywu897@uwo.ca</v>
      </c>
      <c r="P13" t="str">
        <f t="shared" ref="P13:P76" si="22">IF(L13&lt;&gt;"",CONCATENATE(L13,"@uwo.ca",""),"")</f>
        <v>jze@uwo.ca</v>
      </c>
      <c r="Q13" t="str">
        <f t="shared" ref="Q13:Q76" si="23">IF(M13&lt;&gt;"",CONCATENATE(M13,"@uwo.ca",""),"")</f>
        <v/>
      </c>
      <c r="R13" t="str">
        <f t="shared" ref="R13:R76" si="24">N13&amp;IF(O13&lt;&gt;"",";"&amp;O13,"")&amp;IF(P13&lt;&gt;"",";"&amp;P13,"")&amp;IF(Q13&lt;&gt;"",";"&amp;Q13,"")</f>
        <v>xwan588@uwo.ca;ywu897@uwo.ca;jze@uwo.ca</v>
      </c>
      <c r="U13" t="str">
        <f>IF(COUNTIF($A$2:$A13,$A13)=1,$A13,"")</f>
        <v/>
      </c>
      <c r="V13">
        <f>IFERROR(INDEX($U$2:$U$349,_xlfn.AGGREGATE(15,6,(ROW($U$2:$U$349)-ROW($U$2)+1)/($U$2:$U$349&lt;&gt;""),ROWS(V$2:V13))),"")</f>
        <v>12</v>
      </c>
    </row>
    <row r="14" spans="1:22" x14ac:dyDescent="0.2">
      <c r="A14">
        <v>5</v>
      </c>
      <c r="B14" t="s">
        <v>36</v>
      </c>
      <c r="E14" s="1">
        <f t="shared" si="7"/>
        <v>13</v>
      </c>
      <c r="F14">
        <f t="shared" si="8"/>
        <v>15</v>
      </c>
      <c r="G14">
        <f t="shared" si="9"/>
        <v>13</v>
      </c>
      <c r="H14">
        <f t="shared" si="10"/>
        <v>11</v>
      </c>
      <c r="I14">
        <f t="shared" si="0"/>
        <v>3</v>
      </c>
      <c r="J14" t="str">
        <f t="shared" si="1"/>
        <v>hliu632</v>
      </c>
      <c r="K14" t="str">
        <f t="shared" si="2"/>
        <v>yzhao962</v>
      </c>
      <c r="L14" t="str">
        <f t="shared" si="3"/>
        <v>yzhu687</v>
      </c>
      <c r="M14" t="str">
        <f t="shared" si="4"/>
        <v/>
      </c>
      <c r="N14" t="str">
        <f t="shared" si="20"/>
        <v>hliu632@uwo.ca</v>
      </c>
      <c r="O14" t="str">
        <f t="shared" si="21"/>
        <v>yzhao962@uwo.ca</v>
      </c>
      <c r="P14" t="str">
        <f t="shared" si="22"/>
        <v>yzhu687@uwo.ca</v>
      </c>
      <c r="Q14" t="str">
        <f t="shared" si="23"/>
        <v/>
      </c>
      <c r="R14" t="str">
        <f t="shared" si="24"/>
        <v>hliu632@uwo.ca;yzhao962@uwo.ca;yzhu687@uwo.ca</v>
      </c>
      <c r="U14">
        <f>IF(COUNTIF($A$2:$A14,$A14)=1,$A14,"")</f>
        <v>5</v>
      </c>
      <c r="V14">
        <f>IFERROR(INDEX($U$2:$U$349,_xlfn.AGGREGATE(15,6,(ROW($U$2:$U$349)-ROW($U$2)+1)/($U$2:$U$349&lt;&gt;""),ROWS(V$2:V14))),"")</f>
        <v>13</v>
      </c>
    </row>
    <row r="15" spans="1:22" x14ac:dyDescent="0.2">
      <c r="A15">
        <v>5</v>
      </c>
      <c r="B15" t="s">
        <v>37</v>
      </c>
      <c r="E15" s="1">
        <f t="shared" si="7"/>
        <v>14</v>
      </c>
      <c r="F15">
        <f t="shared" si="8"/>
        <v>16</v>
      </c>
      <c r="G15">
        <f t="shared" si="9"/>
        <v>14</v>
      </c>
      <c r="H15">
        <f t="shared" si="10"/>
        <v>12</v>
      </c>
      <c r="I15">
        <f t="shared" si="0"/>
        <v>3</v>
      </c>
      <c r="J15" t="str">
        <f t="shared" si="1"/>
        <v>jchi8</v>
      </c>
      <c r="K15" t="str">
        <f t="shared" si="2"/>
        <v>qtan25</v>
      </c>
      <c r="L15" t="str">
        <f t="shared" si="3"/>
        <v>jwan953</v>
      </c>
      <c r="M15" t="str">
        <f t="shared" si="4"/>
        <v/>
      </c>
      <c r="N15" t="str">
        <f t="shared" si="20"/>
        <v>jchi8@uwo.ca</v>
      </c>
      <c r="O15" t="str">
        <f t="shared" si="21"/>
        <v>qtan25@uwo.ca</v>
      </c>
      <c r="P15" t="str">
        <f t="shared" si="22"/>
        <v>jwan953@uwo.ca</v>
      </c>
      <c r="Q15" t="str">
        <f t="shared" si="23"/>
        <v/>
      </c>
      <c r="R15" t="str">
        <f t="shared" si="24"/>
        <v>jchi8@uwo.ca;qtan25@uwo.ca;jwan953@uwo.ca</v>
      </c>
      <c r="U15" t="str">
        <f>IF(COUNTIF($A$2:$A15,$A15)=1,$A15,"")</f>
        <v/>
      </c>
      <c r="V15">
        <f>IFERROR(INDEX($U$2:$U$349,_xlfn.AGGREGATE(15,6,(ROW($U$2:$U$349)-ROW($U$2)+1)/($U$2:$U$349&lt;&gt;""),ROWS(V$2:V15))),"")</f>
        <v>14</v>
      </c>
    </row>
    <row r="16" spans="1:22" x14ac:dyDescent="0.2">
      <c r="A16">
        <v>5</v>
      </c>
      <c r="B16" t="s">
        <v>38</v>
      </c>
      <c r="E16" s="1">
        <f t="shared" si="7"/>
        <v>15</v>
      </c>
      <c r="F16">
        <f t="shared" si="8"/>
        <v>17</v>
      </c>
      <c r="G16">
        <f t="shared" si="9"/>
        <v>15</v>
      </c>
      <c r="H16">
        <f t="shared" si="10"/>
        <v>13</v>
      </c>
      <c r="I16">
        <f t="shared" si="0"/>
        <v>3</v>
      </c>
      <c r="J16" t="str">
        <f t="shared" si="1"/>
        <v>xjin54</v>
      </c>
      <c r="K16" t="str">
        <f t="shared" si="2"/>
        <v>jpate255</v>
      </c>
      <c r="L16" t="str">
        <f t="shared" si="3"/>
        <v>asafdar4</v>
      </c>
      <c r="M16" t="str">
        <f t="shared" si="4"/>
        <v/>
      </c>
      <c r="N16" t="str">
        <f t="shared" si="20"/>
        <v>xjin54@uwo.ca</v>
      </c>
      <c r="O16" t="str">
        <f t="shared" si="21"/>
        <v>jpate255@uwo.ca</v>
      </c>
      <c r="P16" t="str">
        <f t="shared" si="22"/>
        <v>asafdar4@uwo.ca</v>
      </c>
      <c r="Q16" t="str">
        <f t="shared" si="23"/>
        <v/>
      </c>
      <c r="R16" t="str">
        <f t="shared" si="24"/>
        <v>xjin54@uwo.ca;jpate255@uwo.ca;asafdar4@uwo.ca</v>
      </c>
      <c r="U16" t="str">
        <f>IF(COUNTIF($A$2:$A16,$A16)=1,$A16,"")</f>
        <v/>
      </c>
      <c r="V16">
        <f>IFERROR(INDEX($U$2:$U$349,_xlfn.AGGREGATE(15,6,(ROW($U$2:$U$349)-ROW($U$2)+1)/($U$2:$U$349&lt;&gt;""),ROWS(V$2:V16))),"")</f>
        <v>15</v>
      </c>
    </row>
    <row r="17" spans="1:22" x14ac:dyDescent="0.2">
      <c r="A17">
        <v>6</v>
      </c>
      <c r="B17" t="s">
        <v>39</v>
      </c>
      <c r="E17" s="1">
        <f t="shared" ref="E17:E74" si="25">V17</f>
        <v>16</v>
      </c>
      <c r="F17">
        <f t="shared" si="8"/>
        <v>18</v>
      </c>
      <c r="G17">
        <f t="shared" si="9"/>
        <v>16</v>
      </c>
      <c r="H17">
        <f t="shared" si="10"/>
        <v>14</v>
      </c>
      <c r="I17">
        <f t="shared" si="0"/>
        <v>3</v>
      </c>
      <c r="J17" t="str">
        <f t="shared" si="1"/>
        <v>yche982</v>
      </c>
      <c r="K17" t="str">
        <f t="shared" si="2"/>
        <v>tjing3</v>
      </c>
      <c r="L17" t="str">
        <f t="shared" si="3"/>
        <v>ylu586</v>
      </c>
      <c r="M17" t="str">
        <f t="shared" si="4"/>
        <v/>
      </c>
      <c r="N17" t="str">
        <f t="shared" si="20"/>
        <v>yche982@uwo.ca</v>
      </c>
      <c r="O17" t="str">
        <f t="shared" si="21"/>
        <v>tjing3@uwo.ca</v>
      </c>
      <c r="P17" t="str">
        <f t="shared" si="22"/>
        <v>ylu586@uwo.ca</v>
      </c>
      <c r="Q17" t="str">
        <f t="shared" si="23"/>
        <v/>
      </c>
      <c r="R17" t="str">
        <f t="shared" si="24"/>
        <v>yche982@uwo.ca;tjing3@uwo.ca;ylu586@uwo.ca</v>
      </c>
      <c r="U17">
        <f>IF(COUNTIF($A$2:$A17,$A17)=1,$A17,"")</f>
        <v>6</v>
      </c>
      <c r="V17">
        <f>IFERROR(INDEX($U$2:$U$349,_xlfn.AGGREGATE(15,6,(ROW($U$2:$U$349)-ROW($U$2)+1)/($U$2:$U$349&lt;&gt;""),ROWS(V$2:V17))),"")</f>
        <v>16</v>
      </c>
    </row>
    <row r="18" spans="1:22" x14ac:dyDescent="0.2">
      <c r="A18">
        <v>6</v>
      </c>
      <c r="B18" t="s">
        <v>40</v>
      </c>
      <c r="E18" s="1">
        <f t="shared" si="25"/>
        <v>17</v>
      </c>
      <c r="F18">
        <f t="shared" si="8"/>
        <v>19</v>
      </c>
      <c r="G18">
        <f t="shared" si="9"/>
        <v>17</v>
      </c>
      <c r="H18">
        <f t="shared" si="10"/>
        <v>15</v>
      </c>
      <c r="I18">
        <f t="shared" si="0"/>
        <v>3</v>
      </c>
      <c r="J18" t="str">
        <f t="shared" si="1"/>
        <v>mkhan787</v>
      </c>
      <c r="K18" t="str">
        <f t="shared" si="2"/>
        <v>dle52</v>
      </c>
      <c r="L18" t="str">
        <f t="shared" si="3"/>
        <v>tlee352</v>
      </c>
      <c r="M18" t="str">
        <f t="shared" si="4"/>
        <v/>
      </c>
      <c r="N18" t="str">
        <f t="shared" si="20"/>
        <v>mkhan787@uwo.ca</v>
      </c>
      <c r="O18" t="str">
        <f t="shared" si="21"/>
        <v>dle52@uwo.ca</v>
      </c>
      <c r="P18" t="str">
        <f t="shared" si="22"/>
        <v>tlee352@uwo.ca</v>
      </c>
      <c r="Q18" t="str">
        <f t="shared" si="23"/>
        <v/>
      </c>
      <c r="R18" t="str">
        <f t="shared" si="24"/>
        <v>mkhan787@uwo.ca;dle52@uwo.ca;tlee352@uwo.ca</v>
      </c>
      <c r="U18" t="str">
        <f>IF(COUNTIF($A$2:$A18,$A18)=1,$A18,"")</f>
        <v/>
      </c>
      <c r="V18">
        <f>IFERROR(INDEX($U$2:$U$349,_xlfn.AGGREGATE(15,6,(ROW($U$2:$U$349)-ROW($U$2)+1)/($U$2:$U$349&lt;&gt;""),ROWS(V$2:V18))),"")</f>
        <v>17</v>
      </c>
    </row>
    <row r="19" spans="1:22" x14ac:dyDescent="0.2">
      <c r="A19">
        <v>6</v>
      </c>
      <c r="B19" t="s">
        <v>41</v>
      </c>
      <c r="E19" s="1">
        <f t="shared" si="25"/>
        <v>18</v>
      </c>
      <c r="F19">
        <f t="shared" si="8"/>
        <v>20</v>
      </c>
      <c r="G19">
        <f t="shared" si="9"/>
        <v>18</v>
      </c>
      <c r="H19">
        <f t="shared" si="10"/>
        <v>16</v>
      </c>
      <c r="I19">
        <f t="shared" si="0"/>
        <v>3</v>
      </c>
      <c r="J19" t="str">
        <f t="shared" si="1"/>
        <v>hdodd3</v>
      </c>
      <c r="K19" t="str">
        <f t="shared" si="2"/>
        <v>sghafou2</v>
      </c>
      <c r="L19" t="str">
        <f t="shared" si="3"/>
        <v>azewde</v>
      </c>
      <c r="M19" t="str">
        <f t="shared" si="4"/>
        <v/>
      </c>
      <c r="N19" t="str">
        <f t="shared" si="20"/>
        <v>hdodd3@uwo.ca</v>
      </c>
      <c r="O19" t="str">
        <f t="shared" si="21"/>
        <v>sghafou2@uwo.ca</v>
      </c>
      <c r="P19" t="str">
        <f t="shared" si="22"/>
        <v>azewde@uwo.ca</v>
      </c>
      <c r="Q19" t="str">
        <f t="shared" si="23"/>
        <v/>
      </c>
      <c r="R19" t="str">
        <f t="shared" si="24"/>
        <v>hdodd3@uwo.ca;sghafou2@uwo.ca;azewde@uwo.ca</v>
      </c>
      <c r="U19" t="str">
        <f>IF(COUNTIF($A$2:$A19,$A19)=1,$A19,"")</f>
        <v/>
      </c>
      <c r="V19">
        <f>IFERROR(INDEX($U$2:$U$349,_xlfn.AGGREGATE(15,6,(ROW($U$2:$U$349)-ROW($U$2)+1)/($U$2:$U$349&lt;&gt;""),ROWS(V$2:V19))),"")</f>
        <v>18</v>
      </c>
    </row>
    <row r="20" spans="1:22" x14ac:dyDescent="0.2">
      <c r="A20">
        <v>6</v>
      </c>
      <c r="B20" t="s">
        <v>42</v>
      </c>
      <c r="E20" s="1">
        <f t="shared" si="25"/>
        <v>19</v>
      </c>
      <c r="F20">
        <f t="shared" si="8"/>
        <v>21</v>
      </c>
      <c r="G20">
        <f t="shared" si="9"/>
        <v>19</v>
      </c>
      <c r="H20">
        <f t="shared" si="10"/>
        <v>17</v>
      </c>
      <c r="I20">
        <f t="shared" si="0"/>
        <v>3</v>
      </c>
      <c r="J20" t="str">
        <f t="shared" si="1"/>
        <v>abrahmbh</v>
      </c>
      <c r="K20" t="str">
        <f t="shared" si="2"/>
        <v>jbuckl8</v>
      </c>
      <c r="L20" t="str">
        <f t="shared" si="3"/>
        <v>tjohn54</v>
      </c>
      <c r="M20" t="str">
        <f t="shared" si="4"/>
        <v/>
      </c>
      <c r="N20" t="str">
        <f t="shared" si="20"/>
        <v>abrahmbh@uwo.ca</v>
      </c>
      <c r="O20" t="str">
        <f t="shared" si="21"/>
        <v>jbuckl8@uwo.ca</v>
      </c>
      <c r="P20" t="str">
        <f t="shared" si="22"/>
        <v>tjohn54@uwo.ca</v>
      </c>
      <c r="Q20" t="str">
        <f t="shared" si="23"/>
        <v/>
      </c>
      <c r="R20" t="str">
        <f t="shared" si="24"/>
        <v>abrahmbh@uwo.ca;jbuckl8@uwo.ca;tjohn54@uwo.ca</v>
      </c>
      <c r="U20" t="str">
        <f>IF(COUNTIF($A$2:$A20,$A20)=1,$A20,"")</f>
        <v/>
      </c>
      <c r="V20">
        <f>IFERROR(INDEX($U$2:$U$349,_xlfn.AGGREGATE(15,6,(ROW($U$2:$U$349)-ROW($U$2)+1)/($U$2:$U$349&lt;&gt;""),ROWS(V$2:V20))),"")</f>
        <v>19</v>
      </c>
    </row>
    <row r="21" spans="1:22" x14ac:dyDescent="0.2">
      <c r="A21">
        <v>7</v>
      </c>
      <c r="B21" t="s">
        <v>43</v>
      </c>
      <c r="E21" s="1">
        <f t="shared" si="25"/>
        <v>20</v>
      </c>
      <c r="F21">
        <f t="shared" si="8"/>
        <v>22</v>
      </c>
      <c r="G21">
        <f t="shared" si="9"/>
        <v>20</v>
      </c>
      <c r="H21">
        <f t="shared" si="10"/>
        <v>18</v>
      </c>
      <c r="I21">
        <f t="shared" si="0"/>
        <v>3</v>
      </c>
      <c r="J21" t="str">
        <f t="shared" si="1"/>
        <v>lbanjani</v>
      </c>
      <c r="K21" t="str">
        <f t="shared" si="2"/>
        <v>lfoxcro</v>
      </c>
      <c r="L21" t="str">
        <f t="shared" si="3"/>
        <v>wmalisch</v>
      </c>
      <c r="M21" t="str">
        <f t="shared" si="4"/>
        <v/>
      </c>
      <c r="N21" t="str">
        <f t="shared" si="20"/>
        <v>lbanjani@uwo.ca</v>
      </c>
      <c r="O21" t="str">
        <f t="shared" si="21"/>
        <v>lfoxcro@uwo.ca</v>
      </c>
      <c r="P21" t="str">
        <f t="shared" si="22"/>
        <v>wmalisch@uwo.ca</v>
      </c>
      <c r="Q21" t="str">
        <f t="shared" si="23"/>
        <v/>
      </c>
      <c r="R21" t="str">
        <f t="shared" si="24"/>
        <v>lbanjani@uwo.ca;lfoxcro@uwo.ca;wmalisch@uwo.ca</v>
      </c>
      <c r="U21">
        <f>IF(COUNTIF($A$2:$A21,$A21)=1,$A21,"")</f>
        <v>7</v>
      </c>
      <c r="V21">
        <f>IFERROR(INDEX($U$2:$U$349,_xlfn.AGGREGATE(15,6,(ROW($U$2:$U$349)-ROW($U$2)+1)/($U$2:$U$349&lt;&gt;""),ROWS(V$2:V21))),"")</f>
        <v>20</v>
      </c>
    </row>
    <row r="22" spans="1:22" x14ac:dyDescent="0.2">
      <c r="A22">
        <v>7</v>
      </c>
      <c r="B22" t="s">
        <v>44</v>
      </c>
      <c r="E22" s="1">
        <f t="shared" si="25"/>
        <v>21</v>
      </c>
      <c r="F22">
        <f t="shared" si="8"/>
        <v>23</v>
      </c>
      <c r="G22">
        <f t="shared" si="9"/>
        <v>21</v>
      </c>
      <c r="H22">
        <f t="shared" si="10"/>
        <v>19</v>
      </c>
      <c r="I22">
        <f t="shared" si="0"/>
        <v>3</v>
      </c>
      <c r="J22" t="str">
        <f t="shared" si="1"/>
        <v>yliu2865</v>
      </c>
      <c r="K22" t="str">
        <f t="shared" si="2"/>
        <v>jyan332</v>
      </c>
      <c r="L22" t="str">
        <f t="shared" si="3"/>
        <v>jzha5</v>
      </c>
      <c r="M22" t="str">
        <f t="shared" si="4"/>
        <v/>
      </c>
      <c r="N22" t="str">
        <f t="shared" si="20"/>
        <v>yliu2865@uwo.ca</v>
      </c>
      <c r="O22" t="str">
        <f t="shared" si="21"/>
        <v>jyan332@uwo.ca</v>
      </c>
      <c r="P22" t="str">
        <f t="shared" si="22"/>
        <v>jzha5@uwo.ca</v>
      </c>
      <c r="Q22" t="str">
        <f t="shared" si="23"/>
        <v/>
      </c>
      <c r="R22" t="str">
        <f t="shared" si="24"/>
        <v>yliu2865@uwo.ca;jyan332@uwo.ca;jzha5@uwo.ca</v>
      </c>
      <c r="U22" t="str">
        <f>IF(COUNTIF($A$2:$A22,$A22)=1,$A22,"")</f>
        <v/>
      </c>
      <c r="V22">
        <f>IFERROR(INDEX($U$2:$U$349,_xlfn.AGGREGATE(15,6,(ROW($U$2:$U$349)-ROW($U$2)+1)/($U$2:$U$349&lt;&gt;""),ROWS(V$2:V22))),"")</f>
        <v>21</v>
      </c>
    </row>
    <row r="23" spans="1:22" x14ac:dyDescent="0.2">
      <c r="A23">
        <v>7</v>
      </c>
      <c r="B23" t="s">
        <v>45</v>
      </c>
      <c r="E23" s="1">
        <f t="shared" si="25"/>
        <v>22</v>
      </c>
      <c r="F23">
        <f t="shared" si="8"/>
        <v>24</v>
      </c>
      <c r="G23">
        <f t="shared" si="9"/>
        <v>22</v>
      </c>
      <c r="H23">
        <f t="shared" si="10"/>
        <v>20</v>
      </c>
      <c r="I23">
        <f t="shared" si="0"/>
        <v>3</v>
      </c>
      <c r="J23" t="str">
        <f t="shared" si="1"/>
        <v>pchang32</v>
      </c>
      <c r="K23" t="str">
        <f t="shared" si="2"/>
        <v>yche865</v>
      </c>
      <c r="L23" t="str">
        <f t="shared" si="3"/>
        <v>wngo2</v>
      </c>
      <c r="M23" t="str">
        <f t="shared" si="4"/>
        <v/>
      </c>
      <c r="N23" t="str">
        <f t="shared" si="20"/>
        <v>pchang32@uwo.ca</v>
      </c>
      <c r="O23" t="str">
        <f t="shared" si="21"/>
        <v>yche865@uwo.ca</v>
      </c>
      <c r="P23" t="str">
        <f t="shared" si="22"/>
        <v>wngo2@uwo.ca</v>
      </c>
      <c r="Q23" t="str">
        <f t="shared" si="23"/>
        <v/>
      </c>
      <c r="R23" t="str">
        <f t="shared" si="24"/>
        <v>pchang32@uwo.ca;yche865@uwo.ca;wngo2@uwo.ca</v>
      </c>
      <c r="U23" t="str">
        <f>IF(COUNTIF($A$2:$A23,$A23)=1,$A23,"")</f>
        <v/>
      </c>
      <c r="V23">
        <f>IFERROR(INDEX($U$2:$U$349,_xlfn.AGGREGATE(15,6,(ROW($U$2:$U$349)-ROW($U$2)+1)/($U$2:$U$349&lt;&gt;""),ROWS(V$2:V23))),"")</f>
        <v>22</v>
      </c>
    </row>
    <row r="24" spans="1:22" x14ac:dyDescent="0.2">
      <c r="A24">
        <v>8</v>
      </c>
      <c r="B24" t="s">
        <v>46</v>
      </c>
      <c r="E24" s="1">
        <f t="shared" si="25"/>
        <v>23</v>
      </c>
      <c r="F24">
        <f t="shared" si="8"/>
        <v>25</v>
      </c>
      <c r="G24">
        <f t="shared" si="9"/>
        <v>23</v>
      </c>
      <c r="H24">
        <f t="shared" si="10"/>
        <v>21</v>
      </c>
      <c r="I24">
        <f t="shared" si="0"/>
        <v>3</v>
      </c>
      <c r="J24" t="str">
        <f t="shared" si="1"/>
        <v>aalmusaw</v>
      </c>
      <c r="K24" t="str">
        <f t="shared" si="2"/>
        <v>iborwick</v>
      </c>
      <c r="L24" t="str">
        <f t="shared" si="3"/>
        <v>kvu9</v>
      </c>
      <c r="M24" t="str">
        <f t="shared" si="4"/>
        <v/>
      </c>
      <c r="N24" t="str">
        <f t="shared" si="20"/>
        <v>aalmusaw@uwo.ca</v>
      </c>
      <c r="O24" t="str">
        <f t="shared" si="21"/>
        <v>iborwick@uwo.ca</v>
      </c>
      <c r="P24" t="str">
        <f t="shared" si="22"/>
        <v>kvu9@uwo.ca</v>
      </c>
      <c r="Q24" t="str">
        <f t="shared" si="23"/>
        <v/>
      </c>
      <c r="R24" t="str">
        <f t="shared" si="24"/>
        <v>aalmusaw@uwo.ca;iborwick@uwo.ca;kvu9@uwo.ca</v>
      </c>
      <c r="U24">
        <f>IF(COUNTIF($A$2:$A24,$A24)=1,$A24,"")</f>
        <v>8</v>
      </c>
      <c r="V24">
        <f>IFERROR(INDEX($U$2:$U$349,_xlfn.AGGREGATE(15,6,(ROW($U$2:$U$349)-ROW($U$2)+1)/($U$2:$U$349&lt;&gt;""),ROWS(V$2:V24))),"")</f>
        <v>23</v>
      </c>
    </row>
    <row r="25" spans="1:22" x14ac:dyDescent="0.2">
      <c r="A25">
        <v>8</v>
      </c>
      <c r="B25" t="s">
        <v>47</v>
      </c>
      <c r="E25" s="1">
        <f t="shared" si="25"/>
        <v>24</v>
      </c>
      <c r="F25">
        <f t="shared" si="8"/>
        <v>26</v>
      </c>
      <c r="G25">
        <f t="shared" si="9"/>
        <v>24</v>
      </c>
      <c r="H25">
        <f t="shared" si="10"/>
        <v>22</v>
      </c>
      <c r="I25">
        <f t="shared" si="0"/>
        <v>3</v>
      </c>
      <c r="J25" t="str">
        <f t="shared" si="1"/>
        <v>tbuwadi</v>
      </c>
      <c r="K25" t="str">
        <f t="shared" si="2"/>
        <v>jchaudha</v>
      </c>
      <c r="L25" t="str">
        <f t="shared" si="3"/>
        <v>axu59</v>
      </c>
      <c r="M25" t="str">
        <f t="shared" si="4"/>
        <v/>
      </c>
      <c r="N25" t="str">
        <f t="shared" si="20"/>
        <v>tbuwadi@uwo.ca</v>
      </c>
      <c r="O25" t="str">
        <f t="shared" si="21"/>
        <v>jchaudha@uwo.ca</v>
      </c>
      <c r="P25" t="str">
        <f t="shared" si="22"/>
        <v>axu59@uwo.ca</v>
      </c>
      <c r="Q25" t="str">
        <f t="shared" si="23"/>
        <v/>
      </c>
      <c r="R25" t="str">
        <f t="shared" si="24"/>
        <v>tbuwadi@uwo.ca;jchaudha@uwo.ca;axu59@uwo.ca</v>
      </c>
      <c r="U25" t="str">
        <f>IF(COUNTIF($A$2:$A25,$A25)=1,$A25,"")</f>
        <v/>
      </c>
      <c r="V25">
        <f>IFERROR(INDEX($U$2:$U$349,_xlfn.AGGREGATE(15,6,(ROW($U$2:$U$349)-ROW($U$2)+1)/($U$2:$U$349&lt;&gt;""),ROWS(V$2:V25))),"")</f>
        <v>24</v>
      </c>
    </row>
    <row r="26" spans="1:22" x14ac:dyDescent="0.2">
      <c r="A26">
        <v>8</v>
      </c>
      <c r="B26" t="s">
        <v>48</v>
      </c>
      <c r="E26" s="1">
        <f t="shared" si="25"/>
        <v>25</v>
      </c>
      <c r="F26">
        <f t="shared" si="8"/>
        <v>27</v>
      </c>
      <c r="G26">
        <f t="shared" si="9"/>
        <v>25</v>
      </c>
      <c r="H26">
        <f t="shared" si="10"/>
        <v>23</v>
      </c>
      <c r="I26">
        <f t="shared" si="0"/>
        <v>3</v>
      </c>
      <c r="J26" t="str">
        <f t="shared" si="1"/>
        <v>dcho42</v>
      </c>
      <c r="K26" t="str">
        <f t="shared" si="2"/>
        <v>ylin593</v>
      </c>
      <c r="L26" t="str">
        <f t="shared" si="3"/>
        <v>jman22</v>
      </c>
      <c r="M26" t="str">
        <f t="shared" si="4"/>
        <v/>
      </c>
      <c r="N26" t="str">
        <f t="shared" si="20"/>
        <v>dcho42@uwo.ca</v>
      </c>
      <c r="O26" t="str">
        <f t="shared" si="21"/>
        <v>ylin593@uwo.ca</v>
      </c>
      <c r="P26" t="str">
        <f t="shared" si="22"/>
        <v>jman22@uwo.ca</v>
      </c>
      <c r="Q26" t="str">
        <f t="shared" si="23"/>
        <v/>
      </c>
      <c r="R26" t="str">
        <f t="shared" si="24"/>
        <v>dcho42@uwo.ca;ylin593@uwo.ca;jman22@uwo.ca</v>
      </c>
      <c r="U26" t="str">
        <f>IF(COUNTIF($A$2:$A26,$A26)=1,$A26,"")</f>
        <v/>
      </c>
      <c r="V26">
        <f>IFERROR(INDEX($U$2:$U$349,_xlfn.AGGREGATE(15,6,(ROW($U$2:$U$349)-ROW($U$2)+1)/($U$2:$U$349&lt;&gt;""),ROWS(V$2:V26))),"")</f>
        <v>25</v>
      </c>
    </row>
    <row r="27" spans="1:22" x14ac:dyDescent="0.2">
      <c r="A27">
        <v>9</v>
      </c>
      <c r="B27" t="s">
        <v>49</v>
      </c>
      <c r="E27" s="1">
        <f t="shared" si="25"/>
        <v>26</v>
      </c>
      <c r="F27">
        <f t="shared" si="8"/>
        <v>28</v>
      </c>
      <c r="G27">
        <f t="shared" si="9"/>
        <v>26</v>
      </c>
      <c r="H27">
        <f t="shared" si="10"/>
        <v>24</v>
      </c>
      <c r="I27">
        <f t="shared" si="0"/>
        <v>3</v>
      </c>
      <c r="J27" t="str">
        <f t="shared" si="1"/>
        <v>ldai45</v>
      </c>
      <c r="K27" t="str">
        <f t="shared" si="2"/>
        <v>ylou33</v>
      </c>
      <c r="L27" t="str">
        <f t="shared" si="3"/>
        <v>mstuar6</v>
      </c>
      <c r="M27" t="str">
        <f t="shared" si="4"/>
        <v/>
      </c>
      <c r="N27" t="str">
        <f t="shared" si="20"/>
        <v>ldai45@uwo.ca</v>
      </c>
      <c r="O27" t="str">
        <f t="shared" si="21"/>
        <v>ylou33@uwo.ca</v>
      </c>
      <c r="P27" t="str">
        <f t="shared" si="22"/>
        <v>mstuar6@uwo.ca</v>
      </c>
      <c r="Q27" t="str">
        <f t="shared" si="23"/>
        <v/>
      </c>
      <c r="R27" t="str">
        <f t="shared" si="24"/>
        <v>ldai45@uwo.ca;ylou33@uwo.ca;mstuar6@uwo.ca</v>
      </c>
      <c r="U27">
        <f>IF(COUNTIF($A$2:$A27,$A27)=1,$A27,"")</f>
        <v>9</v>
      </c>
      <c r="V27">
        <f>IFERROR(INDEX($U$2:$U$349,_xlfn.AGGREGATE(15,6,(ROW($U$2:$U$349)-ROW($U$2)+1)/($U$2:$U$349&lt;&gt;""),ROWS(V$2:V27))),"")</f>
        <v>26</v>
      </c>
    </row>
    <row r="28" spans="1:22" x14ac:dyDescent="0.2">
      <c r="A28">
        <v>9</v>
      </c>
      <c r="B28" t="s">
        <v>50</v>
      </c>
      <c r="E28" s="1">
        <f t="shared" si="25"/>
        <v>27</v>
      </c>
      <c r="F28">
        <f t="shared" si="8"/>
        <v>29</v>
      </c>
      <c r="G28">
        <f t="shared" si="9"/>
        <v>27</v>
      </c>
      <c r="H28">
        <f t="shared" si="10"/>
        <v>25</v>
      </c>
      <c r="I28">
        <f t="shared" si="0"/>
        <v>3</v>
      </c>
      <c r="J28" t="str">
        <f t="shared" si="1"/>
        <v>labbas</v>
      </c>
      <c r="K28" t="str">
        <f t="shared" si="2"/>
        <v>mmcgavi3</v>
      </c>
      <c r="L28" t="str">
        <f t="shared" si="3"/>
        <v>tstonge2</v>
      </c>
      <c r="M28" t="str">
        <f t="shared" si="4"/>
        <v/>
      </c>
      <c r="N28" t="str">
        <f t="shared" si="20"/>
        <v>labbas@uwo.ca</v>
      </c>
      <c r="O28" t="str">
        <f t="shared" si="21"/>
        <v>mmcgavi3@uwo.ca</v>
      </c>
      <c r="P28" t="str">
        <f t="shared" si="22"/>
        <v>tstonge2@uwo.ca</v>
      </c>
      <c r="Q28" t="str">
        <f t="shared" si="23"/>
        <v/>
      </c>
      <c r="R28" t="str">
        <f t="shared" si="24"/>
        <v>labbas@uwo.ca;mmcgavi3@uwo.ca;tstonge2@uwo.ca</v>
      </c>
      <c r="U28" t="str">
        <f>IF(COUNTIF($A$2:$A28,$A28)=1,$A28,"")</f>
        <v/>
      </c>
      <c r="V28">
        <f>IFERROR(INDEX($U$2:$U$349,_xlfn.AGGREGATE(15,6,(ROW($U$2:$U$349)-ROW($U$2)+1)/($U$2:$U$349&lt;&gt;""),ROWS(V$2:V28))),"")</f>
        <v>27</v>
      </c>
    </row>
    <row r="29" spans="1:22" x14ac:dyDescent="0.2">
      <c r="A29">
        <v>9</v>
      </c>
      <c r="B29" t="s">
        <v>51</v>
      </c>
      <c r="E29" s="1">
        <f t="shared" si="25"/>
        <v>28</v>
      </c>
      <c r="F29">
        <f t="shared" si="8"/>
        <v>30</v>
      </c>
      <c r="G29">
        <f t="shared" si="9"/>
        <v>28</v>
      </c>
      <c r="H29">
        <f t="shared" si="10"/>
        <v>26</v>
      </c>
      <c r="I29">
        <f t="shared" si="0"/>
        <v>3</v>
      </c>
      <c r="J29" t="str">
        <f t="shared" si="1"/>
        <v>shu223</v>
      </c>
      <c r="K29" t="str">
        <f t="shared" si="2"/>
        <v>yhuan753</v>
      </c>
      <c r="L29" t="str">
        <f t="shared" si="3"/>
        <v>xzha453</v>
      </c>
      <c r="M29" t="str">
        <f t="shared" si="4"/>
        <v/>
      </c>
      <c r="N29" t="str">
        <f t="shared" si="20"/>
        <v>shu223@uwo.ca</v>
      </c>
      <c r="O29" t="str">
        <f t="shared" si="21"/>
        <v>yhuan753@uwo.ca</v>
      </c>
      <c r="P29" t="str">
        <f t="shared" si="22"/>
        <v>xzha453@uwo.ca</v>
      </c>
      <c r="Q29" t="str">
        <f t="shared" si="23"/>
        <v/>
      </c>
      <c r="R29" t="str">
        <f t="shared" si="24"/>
        <v>shu223@uwo.ca;yhuan753@uwo.ca;xzha453@uwo.ca</v>
      </c>
      <c r="U29" t="str">
        <f>IF(COUNTIF($A$2:$A29,$A29)=1,$A29,"")</f>
        <v/>
      </c>
      <c r="V29">
        <f>IFERROR(INDEX($U$2:$U$349,_xlfn.AGGREGATE(15,6,(ROW($U$2:$U$349)-ROW($U$2)+1)/($U$2:$U$349&lt;&gt;""),ROWS(V$2:V29))),"")</f>
        <v>28</v>
      </c>
    </row>
    <row r="30" spans="1:22" x14ac:dyDescent="0.2">
      <c r="A30">
        <v>10</v>
      </c>
      <c r="B30" t="s">
        <v>52</v>
      </c>
      <c r="E30" s="1">
        <f t="shared" si="25"/>
        <v>29</v>
      </c>
      <c r="F30">
        <f t="shared" si="8"/>
        <v>31</v>
      </c>
      <c r="G30">
        <f t="shared" si="9"/>
        <v>29</v>
      </c>
      <c r="H30">
        <f t="shared" si="10"/>
        <v>27</v>
      </c>
      <c r="I30">
        <f t="shared" si="0"/>
        <v>3</v>
      </c>
      <c r="J30" t="str">
        <f t="shared" si="1"/>
        <v>mgianco2</v>
      </c>
      <c r="K30" t="str">
        <f t="shared" si="2"/>
        <v>wkalim</v>
      </c>
      <c r="L30" t="str">
        <f t="shared" si="3"/>
        <v>vmuongso</v>
      </c>
      <c r="M30" t="str">
        <f t="shared" si="4"/>
        <v/>
      </c>
      <c r="N30" t="str">
        <f t="shared" si="20"/>
        <v>mgianco2@uwo.ca</v>
      </c>
      <c r="O30" t="str">
        <f t="shared" si="21"/>
        <v>wkalim@uwo.ca</v>
      </c>
      <c r="P30" t="str">
        <f t="shared" si="22"/>
        <v>vmuongso@uwo.ca</v>
      </c>
      <c r="Q30" t="str">
        <f t="shared" si="23"/>
        <v/>
      </c>
      <c r="R30" t="str">
        <f t="shared" si="24"/>
        <v>mgianco2@uwo.ca;wkalim@uwo.ca;vmuongso@uwo.ca</v>
      </c>
      <c r="U30">
        <f>IF(COUNTIF($A$2:$A30,$A30)=1,$A30,"")</f>
        <v>10</v>
      </c>
      <c r="V30">
        <f>IFERROR(INDEX($U$2:$U$349,_xlfn.AGGREGATE(15,6,(ROW($U$2:$U$349)-ROW($U$2)+1)/($U$2:$U$349&lt;&gt;""),ROWS(V$2:V30))),"")</f>
        <v>29</v>
      </c>
    </row>
    <row r="31" spans="1:22" x14ac:dyDescent="0.2">
      <c r="A31">
        <v>10</v>
      </c>
      <c r="B31" t="s">
        <v>53</v>
      </c>
      <c r="E31" s="1">
        <f t="shared" si="25"/>
        <v>30</v>
      </c>
      <c r="F31">
        <f t="shared" si="8"/>
        <v>32</v>
      </c>
      <c r="G31">
        <f t="shared" si="9"/>
        <v>30</v>
      </c>
      <c r="H31">
        <f t="shared" si="10"/>
        <v>28</v>
      </c>
      <c r="I31">
        <f t="shared" si="0"/>
        <v>3</v>
      </c>
      <c r="J31" t="str">
        <f t="shared" si="1"/>
        <v>zchen882</v>
      </c>
      <c r="K31" t="str">
        <f t="shared" si="2"/>
        <v>sjin85</v>
      </c>
      <c r="L31" t="str">
        <f t="shared" si="3"/>
        <v>xxu462</v>
      </c>
      <c r="M31" t="str">
        <f t="shared" si="4"/>
        <v/>
      </c>
      <c r="N31" t="str">
        <f t="shared" si="20"/>
        <v>zchen882@uwo.ca</v>
      </c>
      <c r="O31" t="str">
        <f t="shared" si="21"/>
        <v>sjin85@uwo.ca</v>
      </c>
      <c r="P31" t="str">
        <f t="shared" si="22"/>
        <v>xxu462@uwo.ca</v>
      </c>
      <c r="Q31" t="str">
        <f t="shared" si="23"/>
        <v/>
      </c>
      <c r="R31" t="str">
        <f t="shared" si="24"/>
        <v>zchen882@uwo.ca;sjin85@uwo.ca;xxu462@uwo.ca</v>
      </c>
      <c r="U31" t="str">
        <f>IF(COUNTIF($A$2:$A31,$A31)=1,$A31,"")</f>
        <v/>
      </c>
      <c r="V31">
        <f>IFERROR(INDEX($U$2:$U$349,_xlfn.AGGREGATE(15,6,(ROW($U$2:$U$349)-ROW($U$2)+1)/($U$2:$U$349&lt;&gt;""),ROWS(V$2:V31))),"")</f>
        <v>30</v>
      </c>
    </row>
    <row r="32" spans="1:22" x14ac:dyDescent="0.2">
      <c r="A32">
        <v>10</v>
      </c>
      <c r="B32" t="s">
        <v>54</v>
      </c>
      <c r="E32" s="1">
        <f t="shared" si="25"/>
        <v>31</v>
      </c>
      <c r="F32">
        <f t="shared" si="8"/>
        <v>33</v>
      </c>
      <c r="G32">
        <f t="shared" si="9"/>
        <v>31</v>
      </c>
      <c r="H32">
        <f t="shared" si="10"/>
        <v>29</v>
      </c>
      <c r="I32">
        <f t="shared" si="0"/>
        <v>3</v>
      </c>
      <c r="J32" t="str">
        <f t="shared" si="1"/>
        <v>ccui29</v>
      </c>
      <c r="K32" t="str">
        <f t="shared" si="2"/>
        <v>wliu379</v>
      </c>
      <c r="L32" t="str">
        <f t="shared" si="3"/>
        <v>jyang496</v>
      </c>
      <c r="M32" t="str">
        <f t="shared" si="4"/>
        <v/>
      </c>
      <c r="N32" t="str">
        <f t="shared" si="20"/>
        <v>ccui29@uwo.ca</v>
      </c>
      <c r="O32" t="str">
        <f t="shared" si="21"/>
        <v>wliu379@uwo.ca</v>
      </c>
      <c r="P32" t="str">
        <f t="shared" si="22"/>
        <v>jyang496@uwo.ca</v>
      </c>
      <c r="Q32" t="str">
        <f t="shared" si="23"/>
        <v/>
      </c>
      <c r="R32" t="str">
        <f t="shared" si="24"/>
        <v>ccui29@uwo.ca;wliu379@uwo.ca;jyang496@uwo.ca</v>
      </c>
      <c r="U32" t="str">
        <f>IF(COUNTIF($A$2:$A32,$A32)=1,$A32,"")</f>
        <v/>
      </c>
      <c r="V32">
        <f>IFERROR(INDEX($U$2:$U$349,_xlfn.AGGREGATE(15,6,(ROW($U$2:$U$349)-ROW($U$2)+1)/($U$2:$U$349&lt;&gt;""),ROWS(V$2:V32))),"")</f>
        <v>31</v>
      </c>
    </row>
    <row r="33" spans="1:22" x14ac:dyDescent="0.2">
      <c r="A33">
        <v>11</v>
      </c>
      <c r="B33" t="s">
        <v>55</v>
      </c>
      <c r="E33" s="1">
        <f t="shared" si="25"/>
        <v>32</v>
      </c>
      <c r="F33">
        <f t="shared" si="8"/>
        <v>34</v>
      </c>
      <c r="G33">
        <f t="shared" si="9"/>
        <v>32</v>
      </c>
      <c r="H33">
        <f t="shared" si="10"/>
        <v>30</v>
      </c>
      <c r="I33">
        <f t="shared" si="0"/>
        <v>3</v>
      </c>
      <c r="J33" t="str">
        <f t="shared" si="1"/>
        <v>sahma87</v>
      </c>
      <c r="K33" t="str">
        <f t="shared" si="2"/>
        <v>hhussien</v>
      </c>
      <c r="L33" t="str">
        <f t="shared" si="3"/>
        <v>mskripch</v>
      </c>
      <c r="M33" t="str">
        <f t="shared" si="4"/>
        <v/>
      </c>
      <c r="N33" t="str">
        <f t="shared" si="20"/>
        <v>sahma87@uwo.ca</v>
      </c>
      <c r="O33" t="str">
        <f t="shared" si="21"/>
        <v>hhussien@uwo.ca</v>
      </c>
      <c r="P33" t="str">
        <f t="shared" si="22"/>
        <v>mskripch@uwo.ca</v>
      </c>
      <c r="Q33" t="str">
        <f t="shared" si="23"/>
        <v/>
      </c>
      <c r="R33" t="str">
        <f t="shared" si="24"/>
        <v>sahma87@uwo.ca;hhussien@uwo.ca;mskripch@uwo.ca</v>
      </c>
      <c r="U33">
        <f>IF(COUNTIF($A$2:$A33,$A33)=1,$A33,"")</f>
        <v>11</v>
      </c>
      <c r="V33">
        <f>IFERROR(INDEX($U$2:$U$349,_xlfn.AGGREGATE(15,6,(ROW($U$2:$U$349)-ROW($U$2)+1)/($U$2:$U$349&lt;&gt;""),ROWS(V$2:V33))),"")</f>
        <v>32</v>
      </c>
    </row>
    <row r="34" spans="1:22" x14ac:dyDescent="0.2">
      <c r="A34">
        <v>11</v>
      </c>
      <c r="B34" t="s">
        <v>56</v>
      </c>
      <c r="E34" s="1">
        <f t="shared" si="25"/>
        <v>33</v>
      </c>
      <c r="F34">
        <f t="shared" si="8"/>
        <v>35</v>
      </c>
      <c r="G34">
        <f t="shared" si="9"/>
        <v>33</v>
      </c>
      <c r="H34">
        <f t="shared" si="10"/>
        <v>31</v>
      </c>
      <c r="I34">
        <f t="shared" si="0"/>
        <v>3</v>
      </c>
      <c r="J34" t="str">
        <f t="shared" si="1"/>
        <v>qji8</v>
      </c>
      <c r="K34" t="str">
        <f t="shared" si="2"/>
        <v>cliu724</v>
      </c>
      <c r="L34" t="str">
        <f t="shared" si="3"/>
        <v>ypu25</v>
      </c>
      <c r="M34" t="str">
        <f t="shared" si="4"/>
        <v/>
      </c>
      <c r="N34" t="str">
        <f t="shared" si="20"/>
        <v>qji8@uwo.ca</v>
      </c>
      <c r="O34" t="str">
        <f t="shared" si="21"/>
        <v>cliu724@uwo.ca</v>
      </c>
      <c r="P34" t="str">
        <f t="shared" si="22"/>
        <v>ypu25@uwo.ca</v>
      </c>
      <c r="Q34" t="str">
        <f t="shared" si="23"/>
        <v/>
      </c>
      <c r="R34" t="str">
        <f t="shared" si="24"/>
        <v>qji8@uwo.ca;cliu724@uwo.ca;ypu25@uwo.ca</v>
      </c>
      <c r="U34" t="str">
        <f>IF(COUNTIF($A$2:$A34,$A34)=1,$A34,"")</f>
        <v/>
      </c>
      <c r="V34">
        <f>IFERROR(INDEX($U$2:$U$349,_xlfn.AGGREGATE(15,6,(ROW($U$2:$U$349)-ROW($U$2)+1)/($U$2:$U$349&lt;&gt;""),ROWS(V$2:V34))),"")</f>
        <v>33</v>
      </c>
    </row>
    <row r="35" spans="1:22" x14ac:dyDescent="0.2">
      <c r="A35">
        <v>11</v>
      </c>
      <c r="B35" t="s">
        <v>57</v>
      </c>
      <c r="E35" s="1">
        <f t="shared" si="25"/>
        <v>34</v>
      </c>
      <c r="F35">
        <f t="shared" si="8"/>
        <v>36</v>
      </c>
      <c r="G35">
        <f t="shared" si="9"/>
        <v>34</v>
      </c>
      <c r="H35">
        <f t="shared" si="10"/>
        <v>32</v>
      </c>
      <c r="I35">
        <f t="shared" si="0"/>
        <v>3</v>
      </c>
      <c r="J35" t="str">
        <f t="shared" si="1"/>
        <v>sbhardw8</v>
      </c>
      <c r="K35" t="str">
        <f t="shared" si="2"/>
        <v>echamb9</v>
      </c>
      <c r="L35" t="str">
        <f t="shared" si="3"/>
        <v>vmakenth</v>
      </c>
      <c r="M35" t="str">
        <f t="shared" si="4"/>
        <v/>
      </c>
      <c r="N35" t="str">
        <f t="shared" si="20"/>
        <v>sbhardw8@uwo.ca</v>
      </c>
      <c r="O35" t="str">
        <f t="shared" si="21"/>
        <v>echamb9@uwo.ca</v>
      </c>
      <c r="P35" t="str">
        <f t="shared" si="22"/>
        <v>vmakenth@uwo.ca</v>
      </c>
      <c r="Q35" t="str">
        <f t="shared" si="23"/>
        <v/>
      </c>
      <c r="R35" t="str">
        <f t="shared" si="24"/>
        <v>sbhardw8@uwo.ca;echamb9@uwo.ca;vmakenth@uwo.ca</v>
      </c>
      <c r="U35" t="str">
        <f>IF(COUNTIF($A$2:$A35,$A35)=1,$A35,"")</f>
        <v/>
      </c>
      <c r="V35">
        <f>IFERROR(INDEX($U$2:$U$349,_xlfn.AGGREGATE(15,6,(ROW($U$2:$U$349)-ROW($U$2)+1)/($U$2:$U$349&lt;&gt;""),ROWS(V$2:V35))),"")</f>
        <v>34</v>
      </c>
    </row>
    <row r="36" spans="1:22" x14ac:dyDescent="0.2">
      <c r="A36">
        <v>12</v>
      </c>
      <c r="B36" t="s">
        <v>58</v>
      </c>
      <c r="E36" s="1">
        <f t="shared" si="25"/>
        <v>35</v>
      </c>
      <c r="F36">
        <f t="shared" si="8"/>
        <v>37</v>
      </c>
      <c r="G36">
        <f t="shared" si="9"/>
        <v>35</v>
      </c>
      <c r="H36">
        <f t="shared" si="10"/>
        <v>33</v>
      </c>
      <c r="I36">
        <f t="shared" si="0"/>
        <v>3</v>
      </c>
      <c r="J36" t="str">
        <f t="shared" si="1"/>
        <v>acarava3</v>
      </c>
      <c r="K36" t="str">
        <f t="shared" si="2"/>
        <v>ccoelho6</v>
      </c>
      <c r="L36" t="str">
        <f t="shared" si="3"/>
        <v>csuthe42</v>
      </c>
      <c r="M36" t="str">
        <f t="shared" si="4"/>
        <v/>
      </c>
      <c r="N36" t="str">
        <f t="shared" si="20"/>
        <v>acarava3@uwo.ca</v>
      </c>
      <c r="O36" t="str">
        <f t="shared" si="21"/>
        <v>ccoelho6@uwo.ca</v>
      </c>
      <c r="P36" t="str">
        <f t="shared" si="22"/>
        <v>csuthe42@uwo.ca</v>
      </c>
      <c r="Q36" t="str">
        <f t="shared" si="23"/>
        <v/>
      </c>
      <c r="R36" t="str">
        <f t="shared" si="24"/>
        <v>acarava3@uwo.ca;ccoelho6@uwo.ca;csuthe42@uwo.ca</v>
      </c>
      <c r="U36">
        <f>IF(COUNTIF($A$2:$A36,$A36)=1,$A36,"")</f>
        <v>12</v>
      </c>
      <c r="V36">
        <f>IFERROR(INDEX($U$2:$U$349,_xlfn.AGGREGATE(15,6,(ROW($U$2:$U$349)-ROW($U$2)+1)/($U$2:$U$349&lt;&gt;""),ROWS(V$2:V36))),"")</f>
        <v>35</v>
      </c>
    </row>
    <row r="37" spans="1:22" x14ac:dyDescent="0.2">
      <c r="A37">
        <v>12</v>
      </c>
      <c r="B37" t="s">
        <v>59</v>
      </c>
      <c r="E37" s="1">
        <f t="shared" si="25"/>
        <v>36</v>
      </c>
      <c r="F37">
        <f t="shared" si="8"/>
        <v>38</v>
      </c>
      <c r="G37">
        <f t="shared" si="9"/>
        <v>36</v>
      </c>
      <c r="H37">
        <f t="shared" si="10"/>
        <v>34</v>
      </c>
      <c r="I37">
        <f t="shared" si="0"/>
        <v>3</v>
      </c>
      <c r="J37" t="str">
        <f t="shared" si="1"/>
        <v>nbohulev</v>
      </c>
      <c r="K37" t="str">
        <f t="shared" si="2"/>
        <v>mtemniuk</v>
      </c>
      <c r="L37" t="str">
        <f t="shared" si="3"/>
        <v>svecerak</v>
      </c>
      <c r="M37" t="str">
        <f t="shared" si="4"/>
        <v/>
      </c>
      <c r="N37" t="str">
        <f t="shared" si="20"/>
        <v>nbohulev@uwo.ca</v>
      </c>
      <c r="O37" t="str">
        <f t="shared" si="21"/>
        <v>mtemniuk@uwo.ca</v>
      </c>
      <c r="P37" t="str">
        <f t="shared" si="22"/>
        <v>svecerak@uwo.ca</v>
      </c>
      <c r="Q37" t="str">
        <f t="shared" si="23"/>
        <v/>
      </c>
      <c r="R37" t="str">
        <f t="shared" si="24"/>
        <v>nbohulev@uwo.ca;mtemniuk@uwo.ca;svecerak@uwo.ca</v>
      </c>
      <c r="U37" t="str">
        <f>IF(COUNTIF($A$2:$A37,$A37)=1,$A37,"")</f>
        <v/>
      </c>
      <c r="V37">
        <f>IFERROR(INDEX($U$2:$U$349,_xlfn.AGGREGATE(15,6,(ROW($U$2:$U$349)-ROW($U$2)+1)/($U$2:$U$349&lt;&gt;""),ROWS(V$2:V37))),"")</f>
        <v>36</v>
      </c>
    </row>
    <row r="38" spans="1:22" x14ac:dyDescent="0.2">
      <c r="A38">
        <v>12</v>
      </c>
      <c r="B38" t="s">
        <v>60</v>
      </c>
      <c r="E38" s="1">
        <f t="shared" si="25"/>
        <v>37</v>
      </c>
      <c r="F38">
        <f t="shared" si="8"/>
        <v>39</v>
      </c>
      <c r="G38">
        <f t="shared" si="9"/>
        <v>37</v>
      </c>
      <c r="H38">
        <f t="shared" si="10"/>
        <v>35</v>
      </c>
      <c r="I38">
        <f t="shared" si="0"/>
        <v>3</v>
      </c>
      <c r="J38" t="str">
        <f t="shared" si="1"/>
        <v>salam45</v>
      </c>
      <c r="K38" t="str">
        <f t="shared" si="2"/>
        <v>cchuan5</v>
      </c>
      <c r="L38" t="str">
        <f t="shared" si="3"/>
        <v>jkim2538</v>
      </c>
      <c r="M38" t="str">
        <f t="shared" si="4"/>
        <v/>
      </c>
      <c r="N38" t="str">
        <f t="shared" si="20"/>
        <v>salam45@uwo.ca</v>
      </c>
      <c r="O38" t="str">
        <f t="shared" si="21"/>
        <v>cchuan5@uwo.ca</v>
      </c>
      <c r="P38" t="str">
        <f t="shared" si="22"/>
        <v>jkim2538@uwo.ca</v>
      </c>
      <c r="Q38" t="str">
        <f t="shared" si="23"/>
        <v/>
      </c>
      <c r="R38" t="str">
        <f t="shared" si="24"/>
        <v>salam45@uwo.ca;cchuan5@uwo.ca;jkim2538@uwo.ca</v>
      </c>
      <c r="U38" t="str">
        <f>IF(COUNTIF($A$2:$A38,$A38)=1,$A38,"")</f>
        <v/>
      </c>
      <c r="V38">
        <f>IFERROR(INDEX($U$2:$U$349,_xlfn.AGGREGATE(15,6,(ROW($U$2:$U$349)-ROW($U$2)+1)/($U$2:$U$349&lt;&gt;""),ROWS(V$2:V38))),"")</f>
        <v>37</v>
      </c>
    </row>
    <row r="39" spans="1:22" x14ac:dyDescent="0.2">
      <c r="A39">
        <v>13</v>
      </c>
      <c r="B39" t="s">
        <v>61</v>
      </c>
      <c r="E39" s="1">
        <f t="shared" si="25"/>
        <v>38</v>
      </c>
      <c r="F39">
        <f t="shared" si="8"/>
        <v>40</v>
      </c>
      <c r="G39">
        <f t="shared" si="9"/>
        <v>38</v>
      </c>
      <c r="H39">
        <f t="shared" si="10"/>
        <v>36</v>
      </c>
      <c r="I39">
        <f t="shared" si="0"/>
        <v>3</v>
      </c>
      <c r="J39" t="str">
        <f t="shared" si="1"/>
        <v>negan</v>
      </c>
      <c r="K39" t="str">
        <f t="shared" si="2"/>
        <v>jhillie7</v>
      </c>
      <c r="L39" t="str">
        <f t="shared" si="3"/>
        <v>dwakefie</v>
      </c>
      <c r="M39" t="str">
        <f t="shared" si="4"/>
        <v/>
      </c>
      <c r="N39" t="str">
        <f t="shared" si="20"/>
        <v>negan@uwo.ca</v>
      </c>
      <c r="O39" t="str">
        <f t="shared" si="21"/>
        <v>jhillie7@uwo.ca</v>
      </c>
      <c r="P39" t="str">
        <f t="shared" si="22"/>
        <v>dwakefie@uwo.ca</v>
      </c>
      <c r="Q39" t="str">
        <f t="shared" si="23"/>
        <v/>
      </c>
      <c r="R39" t="str">
        <f t="shared" si="24"/>
        <v>negan@uwo.ca;jhillie7@uwo.ca;dwakefie@uwo.ca</v>
      </c>
      <c r="U39">
        <f>IF(COUNTIF($A$2:$A39,$A39)=1,$A39,"")</f>
        <v>13</v>
      </c>
      <c r="V39">
        <f>IFERROR(INDEX($U$2:$U$349,_xlfn.AGGREGATE(15,6,(ROW($U$2:$U$349)-ROW($U$2)+1)/($U$2:$U$349&lt;&gt;""),ROWS(V$2:V39))),"")</f>
        <v>38</v>
      </c>
    </row>
    <row r="40" spans="1:22" x14ac:dyDescent="0.2">
      <c r="A40">
        <v>13</v>
      </c>
      <c r="B40" t="s">
        <v>62</v>
      </c>
      <c r="E40" s="1">
        <f t="shared" si="25"/>
        <v>39</v>
      </c>
      <c r="F40">
        <f t="shared" si="8"/>
        <v>41</v>
      </c>
      <c r="G40">
        <f t="shared" si="9"/>
        <v>39</v>
      </c>
      <c r="H40">
        <f t="shared" si="10"/>
        <v>37</v>
      </c>
      <c r="I40">
        <f t="shared" si="0"/>
        <v>3</v>
      </c>
      <c r="J40" t="str">
        <f t="shared" si="1"/>
        <v>bbuntin</v>
      </c>
      <c r="K40" t="str">
        <f t="shared" si="2"/>
        <v>iokal</v>
      </c>
      <c r="L40" t="str">
        <f t="shared" si="3"/>
        <v>lpopa</v>
      </c>
      <c r="M40" t="str">
        <f t="shared" si="4"/>
        <v/>
      </c>
      <c r="N40" t="str">
        <f t="shared" si="20"/>
        <v>bbuntin@uwo.ca</v>
      </c>
      <c r="O40" t="str">
        <f t="shared" si="21"/>
        <v>iokal@uwo.ca</v>
      </c>
      <c r="P40" t="str">
        <f t="shared" si="22"/>
        <v>lpopa@uwo.ca</v>
      </c>
      <c r="Q40" t="str">
        <f t="shared" si="23"/>
        <v/>
      </c>
      <c r="R40" t="str">
        <f t="shared" si="24"/>
        <v>bbuntin@uwo.ca;iokal@uwo.ca;lpopa@uwo.ca</v>
      </c>
      <c r="U40" t="str">
        <f>IF(COUNTIF($A$2:$A40,$A40)=1,$A40,"")</f>
        <v/>
      </c>
      <c r="V40">
        <f>IFERROR(INDEX($U$2:$U$349,_xlfn.AGGREGATE(15,6,(ROW($U$2:$U$349)-ROW($U$2)+1)/($U$2:$U$349&lt;&gt;""),ROWS(V$2:V40))),"")</f>
        <v>39</v>
      </c>
    </row>
    <row r="41" spans="1:22" x14ac:dyDescent="0.2">
      <c r="A41">
        <v>13</v>
      </c>
      <c r="B41" t="s">
        <v>63</v>
      </c>
      <c r="E41" s="1">
        <f t="shared" si="25"/>
        <v>40</v>
      </c>
      <c r="F41">
        <f t="shared" si="8"/>
        <v>42</v>
      </c>
      <c r="G41">
        <f t="shared" si="9"/>
        <v>40</v>
      </c>
      <c r="H41">
        <f t="shared" si="10"/>
        <v>38</v>
      </c>
      <c r="I41">
        <f t="shared" si="0"/>
        <v>3</v>
      </c>
      <c r="J41" t="str">
        <f t="shared" si="1"/>
        <v>basgharz</v>
      </c>
      <c r="K41" t="str">
        <f t="shared" si="2"/>
        <v>fmoham26</v>
      </c>
      <c r="L41" t="str">
        <f t="shared" si="3"/>
        <v>lnasehi</v>
      </c>
      <c r="M41" t="str">
        <f t="shared" si="4"/>
        <v/>
      </c>
      <c r="N41" t="str">
        <f t="shared" si="20"/>
        <v>basgharz@uwo.ca</v>
      </c>
      <c r="O41" t="str">
        <f t="shared" si="21"/>
        <v>fmoham26@uwo.ca</v>
      </c>
      <c r="P41" t="str">
        <f t="shared" si="22"/>
        <v>lnasehi@uwo.ca</v>
      </c>
      <c r="Q41" t="str">
        <f t="shared" si="23"/>
        <v/>
      </c>
      <c r="R41" t="str">
        <f t="shared" si="24"/>
        <v>basgharz@uwo.ca;fmoham26@uwo.ca;lnasehi@uwo.ca</v>
      </c>
      <c r="U41" t="str">
        <f>IF(COUNTIF($A$2:$A41,$A41)=1,$A41,"")</f>
        <v/>
      </c>
      <c r="V41">
        <f>IFERROR(INDEX($U$2:$U$349,_xlfn.AGGREGATE(15,6,(ROW($U$2:$U$349)-ROW($U$2)+1)/($U$2:$U$349&lt;&gt;""),ROWS(V$2:V41))),"")</f>
        <v>40</v>
      </c>
    </row>
    <row r="42" spans="1:22" x14ac:dyDescent="0.2">
      <c r="A42">
        <v>14</v>
      </c>
      <c r="B42" t="s">
        <v>64</v>
      </c>
      <c r="E42" s="1">
        <f t="shared" si="25"/>
        <v>41</v>
      </c>
      <c r="F42">
        <f t="shared" si="8"/>
        <v>43</v>
      </c>
      <c r="G42">
        <f t="shared" si="9"/>
        <v>41</v>
      </c>
      <c r="H42">
        <f t="shared" si="10"/>
        <v>39</v>
      </c>
      <c r="I42">
        <f t="shared" si="0"/>
        <v>3</v>
      </c>
      <c r="J42" t="str">
        <f t="shared" si="1"/>
        <v>jedwa5</v>
      </c>
      <c r="K42" t="str">
        <f t="shared" si="2"/>
        <v>hfox6</v>
      </c>
      <c r="L42" t="str">
        <f t="shared" si="3"/>
        <v>bhart4</v>
      </c>
      <c r="M42" t="str">
        <f t="shared" si="4"/>
        <v/>
      </c>
      <c r="N42" t="str">
        <f t="shared" si="20"/>
        <v>jedwa5@uwo.ca</v>
      </c>
      <c r="O42" t="str">
        <f t="shared" si="21"/>
        <v>hfox6@uwo.ca</v>
      </c>
      <c r="P42" t="str">
        <f t="shared" si="22"/>
        <v>bhart4@uwo.ca</v>
      </c>
      <c r="Q42" t="str">
        <f t="shared" si="23"/>
        <v/>
      </c>
      <c r="R42" t="str">
        <f t="shared" si="24"/>
        <v>jedwa5@uwo.ca;hfox6@uwo.ca;bhart4@uwo.ca</v>
      </c>
      <c r="U42">
        <f>IF(COUNTIF($A$2:$A42,$A42)=1,$A42,"")</f>
        <v>14</v>
      </c>
      <c r="V42">
        <f>IFERROR(INDEX($U$2:$U$349,_xlfn.AGGREGATE(15,6,(ROW($U$2:$U$349)-ROW($U$2)+1)/($U$2:$U$349&lt;&gt;""),ROWS(V$2:V42))),"")</f>
        <v>41</v>
      </c>
    </row>
    <row r="43" spans="1:22" x14ac:dyDescent="0.2">
      <c r="A43">
        <v>14</v>
      </c>
      <c r="B43" t="s">
        <v>65</v>
      </c>
      <c r="E43" s="1">
        <f t="shared" si="25"/>
        <v>42</v>
      </c>
      <c r="F43">
        <f t="shared" si="8"/>
        <v>44</v>
      </c>
      <c r="G43">
        <f t="shared" si="9"/>
        <v>42</v>
      </c>
      <c r="H43">
        <f t="shared" si="10"/>
        <v>40</v>
      </c>
      <c r="I43">
        <f t="shared" si="0"/>
        <v>3</v>
      </c>
      <c r="J43" t="str">
        <f t="shared" si="1"/>
        <v>agreave5</v>
      </c>
      <c r="K43" t="str">
        <f t="shared" si="2"/>
        <v>yli3456</v>
      </c>
      <c r="L43" t="str">
        <f t="shared" si="3"/>
        <v>wmeyer2</v>
      </c>
      <c r="M43" t="str">
        <f t="shared" si="4"/>
        <v/>
      </c>
      <c r="N43" t="str">
        <f t="shared" si="20"/>
        <v>agreave5@uwo.ca</v>
      </c>
      <c r="O43" t="str">
        <f t="shared" si="21"/>
        <v>yli3456@uwo.ca</v>
      </c>
      <c r="P43" t="str">
        <f t="shared" si="22"/>
        <v>wmeyer2@uwo.ca</v>
      </c>
      <c r="Q43" t="str">
        <f t="shared" si="23"/>
        <v/>
      </c>
      <c r="R43" t="str">
        <f t="shared" si="24"/>
        <v>agreave5@uwo.ca;yli3456@uwo.ca;wmeyer2@uwo.ca</v>
      </c>
      <c r="U43" t="str">
        <f>IF(COUNTIF($A$2:$A43,$A43)=1,$A43,"")</f>
        <v/>
      </c>
      <c r="V43">
        <f>IFERROR(INDEX($U$2:$U$349,_xlfn.AGGREGATE(15,6,(ROW($U$2:$U$349)-ROW($U$2)+1)/($U$2:$U$349&lt;&gt;""),ROWS(V$2:V43))),"")</f>
        <v>42</v>
      </c>
    </row>
    <row r="44" spans="1:22" x14ac:dyDescent="0.2">
      <c r="A44">
        <v>14</v>
      </c>
      <c r="B44" t="s">
        <v>66</v>
      </c>
      <c r="E44" s="1">
        <f t="shared" si="25"/>
        <v>43</v>
      </c>
      <c r="F44">
        <f t="shared" si="8"/>
        <v>45</v>
      </c>
      <c r="G44">
        <f t="shared" si="9"/>
        <v>43</v>
      </c>
      <c r="H44">
        <f t="shared" si="10"/>
        <v>41</v>
      </c>
      <c r="I44">
        <f t="shared" si="0"/>
        <v>3</v>
      </c>
      <c r="J44" t="str">
        <f t="shared" si="1"/>
        <v>hahme3</v>
      </c>
      <c r="K44" t="str">
        <f t="shared" si="2"/>
        <v>fmarinhe</v>
      </c>
      <c r="L44" t="str">
        <f t="shared" si="3"/>
        <v>rszollos</v>
      </c>
      <c r="M44" t="str">
        <f t="shared" si="4"/>
        <v/>
      </c>
      <c r="N44" t="str">
        <f t="shared" si="20"/>
        <v>hahme3@uwo.ca</v>
      </c>
      <c r="O44" t="str">
        <f t="shared" si="21"/>
        <v>fmarinhe@uwo.ca</v>
      </c>
      <c r="P44" t="str">
        <f t="shared" si="22"/>
        <v>rszollos@uwo.ca</v>
      </c>
      <c r="Q44" t="str">
        <f t="shared" si="23"/>
        <v/>
      </c>
      <c r="R44" t="str">
        <f t="shared" si="24"/>
        <v>hahme3@uwo.ca;fmarinhe@uwo.ca;rszollos@uwo.ca</v>
      </c>
      <c r="U44" t="str">
        <f>IF(COUNTIF($A$2:$A44,$A44)=1,$A44,"")</f>
        <v/>
      </c>
      <c r="V44">
        <f>IFERROR(INDEX($U$2:$U$349,_xlfn.AGGREGATE(15,6,(ROW($U$2:$U$349)-ROW($U$2)+1)/($U$2:$U$349&lt;&gt;""),ROWS(V$2:V44))),"")</f>
        <v>43</v>
      </c>
    </row>
    <row r="45" spans="1:22" x14ac:dyDescent="0.2">
      <c r="A45">
        <v>15</v>
      </c>
      <c r="B45" t="s">
        <v>67</v>
      </c>
      <c r="E45" s="1">
        <f t="shared" si="25"/>
        <v>44</v>
      </c>
      <c r="F45">
        <f t="shared" si="8"/>
        <v>46</v>
      </c>
      <c r="G45">
        <f t="shared" si="9"/>
        <v>44</v>
      </c>
      <c r="H45">
        <f t="shared" si="10"/>
        <v>42</v>
      </c>
      <c r="I45">
        <f t="shared" si="0"/>
        <v>4</v>
      </c>
      <c r="J45" t="str">
        <f t="shared" si="1"/>
        <v>akhan827</v>
      </c>
      <c r="K45" t="str">
        <f t="shared" si="2"/>
        <v>tlu62</v>
      </c>
      <c r="L45" t="str">
        <f t="shared" si="3"/>
        <v>sverma43</v>
      </c>
      <c r="M45" t="str">
        <f t="shared" si="4"/>
        <v>azelifan</v>
      </c>
      <c r="N45" t="str">
        <f t="shared" si="20"/>
        <v>akhan827@uwo.ca</v>
      </c>
      <c r="O45" t="str">
        <f t="shared" si="21"/>
        <v>tlu62@uwo.ca</v>
      </c>
      <c r="P45" t="str">
        <f t="shared" si="22"/>
        <v>sverma43@uwo.ca</v>
      </c>
      <c r="Q45" t="str">
        <f t="shared" si="23"/>
        <v>azelifan@uwo.ca</v>
      </c>
      <c r="R45" t="str">
        <f t="shared" si="24"/>
        <v>akhan827@uwo.ca;tlu62@uwo.ca;sverma43@uwo.ca;azelifan@uwo.ca</v>
      </c>
      <c r="U45">
        <f>IF(COUNTIF($A$2:$A45,$A45)=1,$A45,"")</f>
        <v>15</v>
      </c>
      <c r="V45">
        <f>IFERROR(INDEX($U$2:$U$349,_xlfn.AGGREGATE(15,6,(ROW($U$2:$U$349)-ROW($U$2)+1)/($U$2:$U$349&lt;&gt;""),ROWS(V$2:V45))),"")</f>
        <v>44</v>
      </c>
    </row>
    <row r="46" spans="1:22" x14ac:dyDescent="0.2">
      <c r="A46">
        <v>15</v>
      </c>
      <c r="B46" t="s">
        <v>68</v>
      </c>
      <c r="E46" s="1">
        <f t="shared" si="25"/>
        <v>45</v>
      </c>
      <c r="F46">
        <f t="shared" si="8"/>
        <v>47</v>
      </c>
      <c r="G46">
        <f t="shared" si="9"/>
        <v>45</v>
      </c>
      <c r="H46">
        <f t="shared" si="10"/>
        <v>43</v>
      </c>
      <c r="I46">
        <f t="shared" si="0"/>
        <v>3</v>
      </c>
      <c r="J46" t="str">
        <f t="shared" si="1"/>
        <v>jgao334</v>
      </c>
      <c r="K46" t="str">
        <f t="shared" si="2"/>
        <v>ckose</v>
      </c>
      <c r="L46" t="str">
        <f t="shared" si="3"/>
        <v>spryadko</v>
      </c>
      <c r="M46" t="str">
        <f t="shared" si="4"/>
        <v/>
      </c>
      <c r="N46" t="str">
        <f t="shared" si="20"/>
        <v>jgao334@uwo.ca</v>
      </c>
      <c r="O46" t="str">
        <f t="shared" si="21"/>
        <v>ckose@uwo.ca</v>
      </c>
      <c r="P46" t="str">
        <f t="shared" si="22"/>
        <v>spryadko@uwo.ca</v>
      </c>
      <c r="Q46" t="str">
        <f t="shared" si="23"/>
        <v/>
      </c>
      <c r="R46" t="str">
        <f t="shared" si="24"/>
        <v>jgao334@uwo.ca;ckose@uwo.ca;spryadko@uwo.ca</v>
      </c>
      <c r="U46" t="str">
        <f>IF(COUNTIF($A$2:$A46,$A46)=1,$A46,"")</f>
        <v/>
      </c>
      <c r="V46">
        <f>IFERROR(INDEX($U$2:$U$349,_xlfn.AGGREGATE(15,6,(ROW($U$2:$U$349)-ROW($U$2)+1)/($U$2:$U$349&lt;&gt;""),ROWS(V$2:V46))),"")</f>
        <v>45</v>
      </c>
    </row>
    <row r="47" spans="1:22" x14ac:dyDescent="0.2">
      <c r="A47">
        <v>15</v>
      </c>
      <c r="B47" t="s">
        <v>69</v>
      </c>
      <c r="E47" s="1">
        <f t="shared" si="25"/>
        <v>46</v>
      </c>
      <c r="F47">
        <f t="shared" si="8"/>
        <v>48</v>
      </c>
      <c r="G47">
        <f t="shared" si="9"/>
        <v>46</v>
      </c>
      <c r="H47">
        <f t="shared" si="10"/>
        <v>44</v>
      </c>
      <c r="I47">
        <f t="shared" si="0"/>
        <v>3</v>
      </c>
      <c r="J47" t="str">
        <f t="shared" si="1"/>
        <v>khu72</v>
      </c>
      <c r="K47" t="str">
        <f t="shared" si="2"/>
        <v>jlian82</v>
      </c>
      <c r="L47" t="str">
        <f t="shared" si="3"/>
        <v>jxie257</v>
      </c>
      <c r="M47" t="str">
        <f t="shared" si="4"/>
        <v/>
      </c>
      <c r="N47" t="str">
        <f t="shared" si="20"/>
        <v>khu72@uwo.ca</v>
      </c>
      <c r="O47" t="str">
        <f t="shared" si="21"/>
        <v>jlian82@uwo.ca</v>
      </c>
      <c r="P47" t="str">
        <f t="shared" si="22"/>
        <v>jxie257@uwo.ca</v>
      </c>
      <c r="Q47" t="str">
        <f t="shared" si="23"/>
        <v/>
      </c>
      <c r="R47" t="str">
        <f t="shared" si="24"/>
        <v>khu72@uwo.ca;jlian82@uwo.ca;jxie257@uwo.ca</v>
      </c>
      <c r="U47" t="str">
        <f>IF(COUNTIF($A$2:$A47,$A47)=1,$A47,"")</f>
        <v/>
      </c>
      <c r="V47">
        <f>IFERROR(INDEX($U$2:$U$349,_xlfn.AGGREGATE(15,6,(ROW($U$2:$U$349)-ROW($U$2)+1)/($U$2:$U$349&lt;&gt;""),ROWS(V$2:V47))),"")</f>
        <v>46</v>
      </c>
    </row>
    <row r="48" spans="1:22" x14ac:dyDescent="0.2">
      <c r="A48">
        <v>16</v>
      </c>
      <c r="B48" t="s">
        <v>70</v>
      </c>
      <c r="E48" s="1">
        <f t="shared" si="25"/>
        <v>47</v>
      </c>
      <c r="F48">
        <f t="shared" si="8"/>
        <v>49</v>
      </c>
      <c r="G48">
        <f t="shared" si="9"/>
        <v>47</v>
      </c>
      <c r="H48">
        <f t="shared" si="10"/>
        <v>45</v>
      </c>
      <c r="I48">
        <f t="shared" si="0"/>
        <v>3</v>
      </c>
      <c r="J48" t="str">
        <f t="shared" si="1"/>
        <v>rkamalac</v>
      </c>
      <c r="K48" t="str">
        <f t="shared" si="2"/>
        <v>emakris2</v>
      </c>
      <c r="L48" t="str">
        <f t="shared" si="3"/>
        <v>lmalasan</v>
      </c>
      <c r="M48" t="str">
        <f t="shared" si="4"/>
        <v/>
      </c>
      <c r="N48" t="str">
        <f t="shared" si="20"/>
        <v>rkamalac@uwo.ca</v>
      </c>
      <c r="O48" t="str">
        <f t="shared" si="21"/>
        <v>emakris2@uwo.ca</v>
      </c>
      <c r="P48" t="str">
        <f t="shared" si="22"/>
        <v>lmalasan@uwo.ca</v>
      </c>
      <c r="Q48" t="str">
        <f t="shared" si="23"/>
        <v/>
      </c>
      <c r="R48" t="str">
        <f t="shared" si="24"/>
        <v>rkamalac@uwo.ca;emakris2@uwo.ca;lmalasan@uwo.ca</v>
      </c>
      <c r="U48">
        <f>IF(COUNTIF($A$2:$A48,$A48)=1,$A48,"")</f>
        <v>16</v>
      </c>
      <c r="V48">
        <f>IFERROR(INDEX($U$2:$U$349,_xlfn.AGGREGATE(15,6,(ROW($U$2:$U$349)-ROW($U$2)+1)/($U$2:$U$349&lt;&gt;""),ROWS(V$2:V48))),"")</f>
        <v>47</v>
      </c>
    </row>
    <row r="49" spans="1:22" x14ac:dyDescent="0.2">
      <c r="A49">
        <v>16</v>
      </c>
      <c r="B49" t="s">
        <v>71</v>
      </c>
      <c r="E49" s="1">
        <f t="shared" si="25"/>
        <v>48</v>
      </c>
      <c r="F49">
        <f t="shared" si="8"/>
        <v>50</v>
      </c>
      <c r="G49">
        <f t="shared" si="9"/>
        <v>48</v>
      </c>
      <c r="H49">
        <f t="shared" si="10"/>
        <v>46</v>
      </c>
      <c r="I49">
        <f t="shared" si="0"/>
        <v>3</v>
      </c>
      <c r="J49" t="str">
        <f t="shared" si="1"/>
        <v>pakioyam</v>
      </c>
      <c r="K49" t="str">
        <f t="shared" si="2"/>
        <v>khinnega</v>
      </c>
      <c r="L49" t="str">
        <f t="shared" si="3"/>
        <v>crailto</v>
      </c>
      <c r="M49" t="str">
        <f t="shared" si="4"/>
        <v/>
      </c>
      <c r="N49" t="str">
        <f t="shared" si="20"/>
        <v>pakioyam@uwo.ca</v>
      </c>
      <c r="O49" t="str">
        <f t="shared" si="21"/>
        <v>khinnega@uwo.ca</v>
      </c>
      <c r="P49" t="str">
        <f t="shared" si="22"/>
        <v>crailto@uwo.ca</v>
      </c>
      <c r="Q49" t="str">
        <f t="shared" si="23"/>
        <v/>
      </c>
      <c r="R49" t="str">
        <f t="shared" si="24"/>
        <v>pakioyam@uwo.ca;khinnega@uwo.ca;crailto@uwo.ca</v>
      </c>
      <c r="U49" t="str">
        <f>IF(COUNTIF($A$2:$A49,$A49)=1,$A49,"")</f>
        <v/>
      </c>
      <c r="V49">
        <f>IFERROR(INDEX($U$2:$U$349,_xlfn.AGGREGATE(15,6,(ROW($U$2:$U$349)-ROW($U$2)+1)/($U$2:$U$349&lt;&gt;""),ROWS(V$2:V49))),"")</f>
        <v>48</v>
      </c>
    </row>
    <row r="50" spans="1:22" x14ac:dyDescent="0.2">
      <c r="A50">
        <v>16</v>
      </c>
      <c r="B50" t="s">
        <v>72</v>
      </c>
      <c r="E50" s="1">
        <f t="shared" si="25"/>
        <v>49</v>
      </c>
      <c r="F50">
        <f t="shared" si="8"/>
        <v>51</v>
      </c>
      <c r="G50">
        <f t="shared" si="9"/>
        <v>49</v>
      </c>
      <c r="H50">
        <f t="shared" si="10"/>
        <v>47</v>
      </c>
      <c r="I50">
        <f t="shared" si="0"/>
        <v>3</v>
      </c>
      <c r="J50" t="str">
        <f t="shared" si="1"/>
        <v>jberrafa</v>
      </c>
      <c r="K50" t="str">
        <f t="shared" si="2"/>
        <v>hchung96</v>
      </c>
      <c r="L50" t="str">
        <f t="shared" si="3"/>
        <v>msmosars</v>
      </c>
      <c r="M50" t="str">
        <f t="shared" si="4"/>
        <v/>
      </c>
      <c r="N50" t="str">
        <f t="shared" si="20"/>
        <v>jberrafa@uwo.ca</v>
      </c>
      <c r="O50" t="str">
        <f t="shared" si="21"/>
        <v>hchung96@uwo.ca</v>
      </c>
      <c r="P50" t="str">
        <f t="shared" si="22"/>
        <v>msmosars@uwo.ca</v>
      </c>
      <c r="Q50" t="str">
        <f t="shared" si="23"/>
        <v/>
      </c>
      <c r="R50" t="str">
        <f t="shared" si="24"/>
        <v>jberrafa@uwo.ca;hchung96@uwo.ca;msmosars@uwo.ca</v>
      </c>
      <c r="U50" t="str">
        <f>IF(COUNTIF($A$2:$A50,$A50)=1,$A50,"")</f>
        <v/>
      </c>
      <c r="V50">
        <f>IFERROR(INDEX($U$2:$U$349,_xlfn.AGGREGATE(15,6,(ROW($U$2:$U$349)-ROW($U$2)+1)/($U$2:$U$349&lt;&gt;""),ROWS(V$2:V50))),"")</f>
        <v>49</v>
      </c>
    </row>
    <row r="51" spans="1:22" x14ac:dyDescent="0.2">
      <c r="A51">
        <v>17</v>
      </c>
      <c r="B51" t="s">
        <v>73</v>
      </c>
      <c r="E51" s="1">
        <f t="shared" si="25"/>
        <v>50</v>
      </c>
      <c r="F51">
        <f t="shared" si="8"/>
        <v>52</v>
      </c>
      <c r="G51">
        <f t="shared" si="9"/>
        <v>50</v>
      </c>
      <c r="H51">
        <f t="shared" si="10"/>
        <v>48</v>
      </c>
      <c r="I51">
        <f t="shared" si="0"/>
        <v>3</v>
      </c>
      <c r="J51" t="str">
        <f t="shared" si="1"/>
        <v>chaines4</v>
      </c>
      <c r="K51" t="str">
        <f t="shared" si="2"/>
        <v>smajews</v>
      </c>
      <c r="L51" t="str">
        <f t="shared" si="3"/>
        <v>jmerri6</v>
      </c>
      <c r="M51" t="str">
        <f t="shared" si="4"/>
        <v/>
      </c>
      <c r="N51" t="str">
        <f t="shared" si="20"/>
        <v>chaines4@uwo.ca</v>
      </c>
      <c r="O51" t="str">
        <f t="shared" si="21"/>
        <v>smajews@uwo.ca</v>
      </c>
      <c r="P51" t="str">
        <f t="shared" si="22"/>
        <v>jmerri6@uwo.ca</v>
      </c>
      <c r="Q51" t="str">
        <f t="shared" si="23"/>
        <v/>
      </c>
      <c r="R51" t="str">
        <f t="shared" si="24"/>
        <v>chaines4@uwo.ca;smajews@uwo.ca;jmerri6@uwo.ca</v>
      </c>
      <c r="U51">
        <f>IF(COUNTIF($A$2:$A51,$A51)=1,$A51,"")</f>
        <v>17</v>
      </c>
      <c r="V51">
        <f>IFERROR(INDEX($U$2:$U$349,_xlfn.AGGREGATE(15,6,(ROW($U$2:$U$349)-ROW($U$2)+1)/($U$2:$U$349&lt;&gt;""),ROWS(V$2:V51))),"")</f>
        <v>50</v>
      </c>
    </row>
    <row r="52" spans="1:22" x14ac:dyDescent="0.2">
      <c r="A52">
        <v>17</v>
      </c>
      <c r="B52" t="s">
        <v>74</v>
      </c>
      <c r="E52" s="1">
        <f t="shared" si="25"/>
        <v>51</v>
      </c>
      <c r="F52">
        <f t="shared" si="8"/>
        <v>53</v>
      </c>
      <c r="G52">
        <f t="shared" si="9"/>
        <v>51</v>
      </c>
      <c r="H52">
        <f t="shared" si="10"/>
        <v>49</v>
      </c>
      <c r="I52">
        <f t="shared" si="0"/>
        <v>3</v>
      </c>
      <c r="J52" t="str">
        <f t="shared" si="1"/>
        <v>ahung44</v>
      </c>
      <c r="K52" t="str">
        <f t="shared" si="2"/>
        <v>tjabir</v>
      </c>
      <c r="L52" t="str">
        <f t="shared" si="3"/>
        <v>twang563</v>
      </c>
      <c r="M52" t="str">
        <f t="shared" si="4"/>
        <v/>
      </c>
      <c r="N52" t="str">
        <f t="shared" si="20"/>
        <v>ahung44@uwo.ca</v>
      </c>
      <c r="O52" t="str">
        <f t="shared" si="21"/>
        <v>tjabir@uwo.ca</v>
      </c>
      <c r="P52" t="str">
        <f t="shared" si="22"/>
        <v>twang563@uwo.ca</v>
      </c>
      <c r="Q52" t="str">
        <f t="shared" si="23"/>
        <v/>
      </c>
      <c r="R52" t="str">
        <f t="shared" si="24"/>
        <v>ahung44@uwo.ca;tjabir@uwo.ca;twang563@uwo.ca</v>
      </c>
      <c r="U52" t="str">
        <f>IF(COUNTIF($A$2:$A52,$A52)=1,$A52,"")</f>
        <v/>
      </c>
      <c r="V52">
        <f>IFERROR(INDEX($U$2:$U$349,_xlfn.AGGREGATE(15,6,(ROW($U$2:$U$349)-ROW($U$2)+1)/($U$2:$U$349&lt;&gt;""),ROWS(V$2:V52))),"")</f>
        <v>51</v>
      </c>
    </row>
    <row r="53" spans="1:22" x14ac:dyDescent="0.2">
      <c r="A53">
        <v>17</v>
      </c>
      <c r="B53" t="s">
        <v>75</v>
      </c>
      <c r="E53" s="1">
        <f t="shared" si="25"/>
        <v>52</v>
      </c>
      <c r="F53">
        <f t="shared" si="8"/>
        <v>54</v>
      </c>
      <c r="G53">
        <f t="shared" si="9"/>
        <v>52</v>
      </c>
      <c r="H53">
        <f t="shared" si="10"/>
        <v>50</v>
      </c>
      <c r="I53">
        <f t="shared" si="0"/>
        <v>3</v>
      </c>
      <c r="J53" t="str">
        <f t="shared" si="1"/>
        <v>mkhan884</v>
      </c>
      <c r="K53" t="str">
        <f t="shared" si="2"/>
        <v>zmomin2</v>
      </c>
      <c r="L53" t="str">
        <f t="shared" si="3"/>
        <v>mzakar</v>
      </c>
      <c r="M53" t="str">
        <f t="shared" si="4"/>
        <v/>
      </c>
      <c r="N53" t="str">
        <f t="shared" si="20"/>
        <v>mkhan884@uwo.ca</v>
      </c>
      <c r="O53" t="str">
        <f t="shared" si="21"/>
        <v>zmomin2@uwo.ca</v>
      </c>
      <c r="P53" t="str">
        <f t="shared" si="22"/>
        <v>mzakar@uwo.ca</v>
      </c>
      <c r="Q53" t="str">
        <f t="shared" si="23"/>
        <v/>
      </c>
      <c r="R53" t="str">
        <f t="shared" si="24"/>
        <v>mkhan884@uwo.ca;zmomin2@uwo.ca;mzakar@uwo.ca</v>
      </c>
      <c r="U53" t="str">
        <f>IF(COUNTIF($A$2:$A53,$A53)=1,$A53,"")</f>
        <v/>
      </c>
      <c r="V53">
        <f>IFERROR(INDEX($U$2:$U$349,_xlfn.AGGREGATE(15,6,(ROW($U$2:$U$349)-ROW($U$2)+1)/($U$2:$U$349&lt;&gt;""),ROWS(V$2:V53))),"")</f>
        <v>52</v>
      </c>
    </row>
    <row r="54" spans="1:22" x14ac:dyDescent="0.2">
      <c r="A54">
        <v>18</v>
      </c>
      <c r="B54" t="s">
        <v>76</v>
      </c>
      <c r="E54" s="1">
        <f t="shared" si="25"/>
        <v>53</v>
      </c>
      <c r="F54">
        <f t="shared" si="8"/>
        <v>55</v>
      </c>
      <c r="G54">
        <f t="shared" si="9"/>
        <v>53</v>
      </c>
      <c r="H54">
        <f t="shared" si="10"/>
        <v>51</v>
      </c>
      <c r="I54">
        <f t="shared" si="0"/>
        <v>3</v>
      </c>
      <c r="J54" t="str">
        <f t="shared" si="1"/>
        <v>xge26</v>
      </c>
      <c r="K54" t="str">
        <f t="shared" si="2"/>
        <v>eyin2</v>
      </c>
      <c r="L54" t="str">
        <f t="shared" si="3"/>
        <v>bzargar</v>
      </c>
      <c r="M54" t="str">
        <f t="shared" si="4"/>
        <v/>
      </c>
      <c r="N54" t="str">
        <f t="shared" si="20"/>
        <v>xge26@uwo.ca</v>
      </c>
      <c r="O54" t="str">
        <f t="shared" si="21"/>
        <v>eyin2@uwo.ca</v>
      </c>
      <c r="P54" t="str">
        <f t="shared" si="22"/>
        <v>bzargar@uwo.ca</v>
      </c>
      <c r="Q54" t="str">
        <f t="shared" si="23"/>
        <v/>
      </c>
      <c r="R54" t="str">
        <f t="shared" si="24"/>
        <v>xge26@uwo.ca;eyin2@uwo.ca;bzargar@uwo.ca</v>
      </c>
      <c r="U54">
        <f>IF(COUNTIF($A$2:$A54,$A54)=1,$A54,"")</f>
        <v>18</v>
      </c>
      <c r="V54">
        <f>IFERROR(INDEX($U$2:$U$349,_xlfn.AGGREGATE(15,6,(ROW($U$2:$U$349)-ROW($U$2)+1)/($U$2:$U$349&lt;&gt;""),ROWS(V$2:V54))),"")</f>
        <v>53</v>
      </c>
    </row>
    <row r="55" spans="1:22" x14ac:dyDescent="0.2">
      <c r="A55">
        <v>18</v>
      </c>
      <c r="B55" t="s">
        <v>77</v>
      </c>
      <c r="E55" s="1">
        <f t="shared" si="25"/>
        <v>54</v>
      </c>
      <c r="F55">
        <f t="shared" si="8"/>
        <v>56</v>
      </c>
      <c r="G55">
        <f t="shared" si="9"/>
        <v>54</v>
      </c>
      <c r="H55">
        <f t="shared" si="10"/>
        <v>52</v>
      </c>
      <c r="I55">
        <f t="shared" si="0"/>
        <v>3</v>
      </c>
      <c r="J55" t="str">
        <f t="shared" si="1"/>
        <v>sfriedri</v>
      </c>
      <c r="K55" t="str">
        <f t="shared" si="2"/>
        <v>zkaawan</v>
      </c>
      <c r="L55" t="str">
        <f t="shared" si="3"/>
        <v>alabras</v>
      </c>
      <c r="M55" t="str">
        <f t="shared" si="4"/>
        <v/>
      </c>
      <c r="N55" t="str">
        <f t="shared" si="20"/>
        <v>sfriedri@uwo.ca</v>
      </c>
      <c r="O55" t="str">
        <f t="shared" si="21"/>
        <v>zkaawan@uwo.ca</v>
      </c>
      <c r="P55" t="str">
        <f t="shared" si="22"/>
        <v>alabras@uwo.ca</v>
      </c>
      <c r="Q55" t="str">
        <f t="shared" si="23"/>
        <v/>
      </c>
      <c r="R55" t="str">
        <f t="shared" si="24"/>
        <v>sfriedri@uwo.ca;zkaawan@uwo.ca;alabras@uwo.ca</v>
      </c>
      <c r="U55" t="str">
        <f>IF(COUNTIF($A$2:$A55,$A55)=1,$A55,"")</f>
        <v/>
      </c>
      <c r="V55">
        <f>IFERROR(INDEX($U$2:$U$349,_xlfn.AGGREGATE(15,6,(ROW($U$2:$U$349)-ROW($U$2)+1)/($U$2:$U$349&lt;&gt;""),ROWS(V$2:V55))),"")</f>
        <v>54</v>
      </c>
    </row>
    <row r="56" spans="1:22" x14ac:dyDescent="0.2">
      <c r="A56">
        <v>18</v>
      </c>
      <c r="B56" t="s">
        <v>78</v>
      </c>
      <c r="E56" s="1">
        <f t="shared" si="25"/>
        <v>55</v>
      </c>
      <c r="F56">
        <f t="shared" si="8"/>
        <v>57</v>
      </c>
      <c r="G56">
        <f t="shared" si="9"/>
        <v>55</v>
      </c>
      <c r="H56">
        <f t="shared" si="10"/>
        <v>53</v>
      </c>
      <c r="I56">
        <f t="shared" si="0"/>
        <v>3</v>
      </c>
      <c r="J56" t="str">
        <f t="shared" si="1"/>
        <v>aliu294</v>
      </c>
      <c r="K56" t="str">
        <f t="shared" si="2"/>
        <v>mtran256</v>
      </c>
      <c r="L56" t="str">
        <f t="shared" si="3"/>
        <v>cyang377</v>
      </c>
      <c r="M56" t="str">
        <f t="shared" si="4"/>
        <v/>
      </c>
      <c r="N56" t="str">
        <f t="shared" si="20"/>
        <v>aliu294@uwo.ca</v>
      </c>
      <c r="O56" t="str">
        <f t="shared" si="21"/>
        <v>mtran256@uwo.ca</v>
      </c>
      <c r="P56" t="str">
        <f t="shared" si="22"/>
        <v>cyang377@uwo.ca</v>
      </c>
      <c r="Q56" t="str">
        <f t="shared" si="23"/>
        <v/>
      </c>
      <c r="R56" t="str">
        <f t="shared" si="24"/>
        <v>aliu294@uwo.ca;mtran256@uwo.ca;cyang377@uwo.ca</v>
      </c>
      <c r="U56" t="str">
        <f>IF(COUNTIF($A$2:$A56,$A56)=1,$A56,"")</f>
        <v/>
      </c>
      <c r="V56">
        <f>IFERROR(INDEX($U$2:$U$349,_xlfn.AGGREGATE(15,6,(ROW($U$2:$U$349)-ROW($U$2)+1)/($U$2:$U$349&lt;&gt;""),ROWS(V$2:V56))),"")</f>
        <v>55</v>
      </c>
    </row>
    <row r="57" spans="1:22" x14ac:dyDescent="0.2">
      <c r="A57">
        <v>19</v>
      </c>
      <c r="B57" t="s">
        <v>79</v>
      </c>
      <c r="E57" s="1">
        <f t="shared" si="25"/>
        <v>56</v>
      </c>
      <c r="F57">
        <f t="shared" si="8"/>
        <v>58</v>
      </c>
      <c r="G57">
        <f t="shared" si="9"/>
        <v>56</v>
      </c>
      <c r="H57">
        <f t="shared" si="10"/>
        <v>54</v>
      </c>
      <c r="I57">
        <f t="shared" si="0"/>
        <v>3</v>
      </c>
      <c r="J57" t="str">
        <f t="shared" si="1"/>
        <v>lgrabics</v>
      </c>
      <c r="K57" t="str">
        <f t="shared" si="2"/>
        <v>khaugen</v>
      </c>
      <c r="L57" t="str">
        <f t="shared" si="3"/>
        <v>jmontfo</v>
      </c>
      <c r="M57" t="str">
        <f t="shared" si="4"/>
        <v/>
      </c>
      <c r="N57" t="str">
        <f t="shared" si="20"/>
        <v>lgrabics@uwo.ca</v>
      </c>
      <c r="O57" t="str">
        <f t="shared" si="21"/>
        <v>khaugen@uwo.ca</v>
      </c>
      <c r="P57" t="str">
        <f t="shared" si="22"/>
        <v>jmontfo@uwo.ca</v>
      </c>
      <c r="Q57" t="str">
        <f t="shared" si="23"/>
        <v/>
      </c>
      <c r="R57" t="str">
        <f t="shared" si="24"/>
        <v>lgrabics@uwo.ca;khaugen@uwo.ca;jmontfo@uwo.ca</v>
      </c>
      <c r="U57">
        <f>IF(COUNTIF($A$2:$A57,$A57)=1,$A57,"")</f>
        <v>19</v>
      </c>
      <c r="V57">
        <f>IFERROR(INDEX($U$2:$U$349,_xlfn.AGGREGATE(15,6,(ROW($U$2:$U$349)-ROW($U$2)+1)/($U$2:$U$349&lt;&gt;""),ROWS(V$2:V57))),"")</f>
        <v>56</v>
      </c>
    </row>
    <row r="58" spans="1:22" x14ac:dyDescent="0.2">
      <c r="A58">
        <v>19</v>
      </c>
      <c r="B58" t="s">
        <v>80</v>
      </c>
      <c r="E58" s="1">
        <f t="shared" si="25"/>
        <v>57</v>
      </c>
      <c r="F58">
        <f t="shared" si="8"/>
        <v>59</v>
      </c>
      <c r="G58">
        <f t="shared" si="9"/>
        <v>57</v>
      </c>
      <c r="H58">
        <f t="shared" si="10"/>
        <v>55</v>
      </c>
      <c r="I58">
        <f t="shared" si="0"/>
        <v>3</v>
      </c>
      <c r="J58" t="str">
        <f t="shared" si="1"/>
        <v>nfinn</v>
      </c>
      <c r="K58" t="str">
        <f t="shared" si="2"/>
        <v>mho262</v>
      </c>
      <c r="L58" t="str">
        <f t="shared" si="3"/>
        <v>iseco</v>
      </c>
      <c r="M58" t="str">
        <f t="shared" si="4"/>
        <v/>
      </c>
      <c r="N58" t="str">
        <f t="shared" si="20"/>
        <v>nfinn@uwo.ca</v>
      </c>
      <c r="O58" t="str">
        <f t="shared" si="21"/>
        <v>mho262@uwo.ca</v>
      </c>
      <c r="P58" t="str">
        <f t="shared" si="22"/>
        <v>iseco@uwo.ca</v>
      </c>
      <c r="Q58" t="str">
        <f t="shared" si="23"/>
        <v/>
      </c>
      <c r="R58" t="str">
        <f t="shared" si="24"/>
        <v>nfinn@uwo.ca;mho262@uwo.ca;iseco@uwo.ca</v>
      </c>
      <c r="U58" t="str">
        <f>IF(COUNTIF($A$2:$A58,$A58)=1,$A58,"")</f>
        <v/>
      </c>
      <c r="V58">
        <f>IFERROR(INDEX($U$2:$U$349,_xlfn.AGGREGATE(15,6,(ROW($U$2:$U$349)-ROW($U$2)+1)/($U$2:$U$349&lt;&gt;""),ROWS(V$2:V58))),"")</f>
        <v>57</v>
      </c>
    </row>
    <row r="59" spans="1:22" x14ac:dyDescent="0.2">
      <c r="A59">
        <v>19</v>
      </c>
      <c r="B59" t="s">
        <v>81</v>
      </c>
      <c r="E59" s="1">
        <f t="shared" si="25"/>
        <v>58</v>
      </c>
      <c r="F59">
        <f t="shared" si="8"/>
        <v>60</v>
      </c>
      <c r="G59">
        <f t="shared" si="9"/>
        <v>58</v>
      </c>
      <c r="H59">
        <f t="shared" si="10"/>
        <v>56</v>
      </c>
      <c r="I59">
        <f t="shared" si="0"/>
        <v>3</v>
      </c>
      <c r="J59" t="str">
        <f t="shared" si="1"/>
        <v>cdong49</v>
      </c>
      <c r="K59" t="str">
        <f t="shared" si="2"/>
        <v>efidanza</v>
      </c>
      <c r="L59" t="str">
        <f t="shared" si="3"/>
        <v>jmaxwe29</v>
      </c>
      <c r="M59" t="str">
        <f t="shared" si="4"/>
        <v/>
      </c>
      <c r="N59" t="str">
        <f t="shared" si="20"/>
        <v>cdong49@uwo.ca</v>
      </c>
      <c r="O59" t="str">
        <f t="shared" si="21"/>
        <v>efidanza@uwo.ca</v>
      </c>
      <c r="P59" t="str">
        <f t="shared" si="22"/>
        <v>jmaxwe29@uwo.ca</v>
      </c>
      <c r="Q59" t="str">
        <f t="shared" si="23"/>
        <v/>
      </c>
      <c r="R59" t="str">
        <f t="shared" si="24"/>
        <v>cdong49@uwo.ca;efidanza@uwo.ca;jmaxwe29@uwo.ca</v>
      </c>
      <c r="U59" t="str">
        <f>IF(COUNTIF($A$2:$A59,$A59)=1,$A59,"")</f>
        <v/>
      </c>
      <c r="V59">
        <f>IFERROR(INDEX($U$2:$U$349,_xlfn.AGGREGATE(15,6,(ROW($U$2:$U$349)-ROW($U$2)+1)/($U$2:$U$349&lt;&gt;""),ROWS(V$2:V59))),"")</f>
        <v>58</v>
      </c>
    </row>
    <row r="60" spans="1:22" x14ac:dyDescent="0.2">
      <c r="A60">
        <v>20</v>
      </c>
      <c r="B60" t="s">
        <v>82</v>
      </c>
      <c r="E60" s="1">
        <f t="shared" si="25"/>
        <v>59</v>
      </c>
      <c r="F60">
        <f t="shared" si="8"/>
        <v>61</v>
      </c>
      <c r="G60">
        <f t="shared" si="9"/>
        <v>59</v>
      </c>
      <c r="H60">
        <f t="shared" si="10"/>
        <v>57</v>
      </c>
      <c r="I60">
        <f t="shared" si="0"/>
        <v>3</v>
      </c>
      <c r="J60" t="str">
        <f t="shared" si="1"/>
        <v>tshi63</v>
      </c>
      <c r="K60" t="str">
        <f t="shared" si="2"/>
        <v>mwang692</v>
      </c>
      <c r="L60" t="str">
        <f t="shared" si="3"/>
        <v>xzha378</v>
      </c>
      <c r="M60" t="str">
        <f t="shared" si="4"/>
        <v/>
      </c>
      <c r="N60" t="str">
        <f t="shared" si="20"/>
        <v>tshi63@uwo.ca</v>
      </c>
      <c r="O60" t="str">
        <f t="shared" si="21"/>
        <v>mwang692@uwo.ca</v>
      </c>
      <c r="P60" t="str">
        <f t="shared" si="22"/>
        <v>xzha378@uwo.ca</v>
      </c>
      <c r="Q60" t="str">
        <f t="shared" si="23"/>
        <v/>
      </c>
      <c r="R60" t="str">
        <f t="shared" si="24"/>
        <v>tshi63@uwo.ca;mwang692@uwo.ca;xzha378@uwo.ca</v>
      </c>
      <c r="U60">
        <f>IF(COUNTIF($A$2:$A60,$A60)=1,$A60,"")</f>
        <v>20</v>
      </c>
      <c r="V60">
        <f>IFERROR(INDEX($U$2:$U$349,_xlfn.AGGREGATE(15,6,(ROW($U$2:$U$349)-ROW($U$2)+1)/($U$2:$U$349&lt;&gt;""),ROWS(V$2:V60))),"")</f>
        <v>59</v>
      </c>
    </row>
    <row r="61" spans="1:22" x14ac:dyDescent="0.2">
      <c r="A61">
        <v>20</v>
      </c>
      <c r="B61" t="s">
        <v>83</v>
      </c>
      <c r="E61" s="1">
        <f t="shared" si="25"/>
        <v>60</v>
      </c>
      <c r="F61">
        <f t="shared" si="8"/>
        <v>62</v>
      </c>
      <c r="G61">
        <f t="shared" si="9"/>
        <v>60</v>
      </c>
      <c r="H61">
        <f t="shared" si="10"/>
        <v>58</v>
      </c>
      <c r="I61">
        <f t="shared" si="0"/>
        <v>3</v>
      </c>
      <c r="J61" t="str">
        <f t="shared" si="1"/>
        <v>lfan52</v>
      </c>
      <c r="K61" t="str">
        <f t="shared" si="2"/>
        <v>fsong23</v>
      </c>
      <c r="L61" t="str">
        <f t="shared" si="3"/>
        <v>zzhou385</v>
      </c>
      <c r="M61" t="str">
        <f t="shared" si="4"/>
        <v/>
      </c>
      <c r="N61" t="str">
        <f t="shared" si="20"/>
        <v>lfan52@uwo.ca</v>
      </c>
      <c r="O61" t="str">
        <f t="shared" si="21"/>
        <v>fsong23@uwo.ca</v>
      </c>
      <c r="P61" t="str">
        <f t="shared" si="22"/>
        <v>zzhou385@uwo.ca</v>
      </c>
      <c r="Q61" t="str">
        <f t="shared" si="23"/>
        <v/>
      </c>
      <c r="R61" t="str">
        <f t="shared" si="24"/>
        <v>lfan52@uwo.ca;fsong23@uwo.ca;zzhou385@uwo.ca</v>
      </c>
      <c r="U61" t="str">
        <f>IF(COUNTIF($A$2:$A61,$A61)=1,$A61,"")</f>
        <v/>
      </c>
      <c r="V61">
        <f>IFERROR(INDEX($U$2:$U$349,_xlfn.AGGREGATE(15,6,(ROW($U$2:$U$349)-ROW($U$2)+1)/($U$2:$U$349&lt;&gt;""),ROWS(V$2:V61))),"")</f>
        <v>60</v>
      </c>
    </row>
    <row r="62" spans="1:22" x14ac:dyDescent="0.2">
      <c r="A62">
        <v>20</v>
      </c>
      <c r="B62" t="s">
        <v>84</v>
      </c>
      <c r="E62" s="1">
        <f t="shared" si="25"/>
        <v>61</v>
      </c>
      <c r="F62">
        <f t="shared" si="8"/>
        <v>63</v>
      </c>
      <c r="G62">
        <f t="shared" si="9"/>
        <v>61</v>
      </c>
      <c r="H62">
        <f t="shared" si="10"/>
        <v>59</v>
      </c>
      <c r="I62">
        <f t="shared" si="0"/>
        <v>3</v>
      </c>
      <c r="J62" t="str">
        <f t="shared" si="1"/>
        <v>damrohi</v>
      </c>
      <c r="K62" t="str">
        <f t="shared" si="2"/>
        <v>jarriola</v>
      </c>
      <c r="L62" t="str">
        <f t="shared" si="3"/>
        <v>adam6</v>
      </c>
      <c r="M62" t="str">
        <f t="shared" si="4"/>
        <v/>
      </c>
      <c r="N62" t="str">
        <f t="shared" si="20"/>
        <v>damrohi@uwo.ca</v>
      </c>
      <c r="O62" t="str">
        <f t="shared" si="21"/>
        <v>jarriola@uwo.ca</v>
      </c>
      <c r="P62" t="str">
        <f t="shared" si="22"/>
        <v>adam6@uwo.ca</v>
      </c>
      <c r="Q62" t="str">
        <f t="shared" si="23"/>
        <v/>
      </c>
      <c r="R62" t="str">
        <f t="shared" si="24"/>
        <v>damrohi@uwo.ca;jarriola@uwo.ca;adam6@uwo.ca</v>
      </c>
      <c r="U62" t="str">
        <f>IF(COUNTIF($A$2:$A62,$A62)=1,$A62,"")</f>
        <v/>
      </c>
      <c r="V62">
        <f>IFERROR(INDEX($U$2:$U$349,_xlfn.AGGREGATE(15,6,(ROW($U$2:$U$349)-ROW($U$2)+1)/($U$2:$U$349&lt;&gt;""),ROWS(V$2:V62))),"")</f>
        <v>61</v>
      </c>
    </row>
    <row r="63" spans="1:22" x14ac:dyDescent="0.2">
      <c r="A63">
        <v>21</v>
      </c>
      <c r="B63" t="s">
        <v>85</v>
      </c>
      <c r="E63" s="1">
        <f t="shared" si="25"/>
        <v>62</v>
      </c>
      <c r="F63">
        <f t="shared" si="8"/>
        <v>64</v>
      </c>
      <c r="G63">
        <f t="shared" si="9"/>
        <v>62</v>
      </c>
      <c r="H63">
        <f t="shared" si="10"/>
        <v>60</v>
      </c>
      <c r="I63">
        <f t="shared" si="0"/>
        <v>3</v>
      </c>
      <c r="J63" t="str">
        <f t="shared" si="1"/>
        <v>rhenlin</v>
      </c>
      <c r="K63" t="str">
        <f t="shared" si="2"/>
        <v>shogeter</v>
      </c>
      <c r="L63" t="str">
        <f t="shared" si="3"/>
        <v>pnorton4</v>
      </c>
      <c r="M63" t="str">
        <f t="shared" si="4"/>
        <v/>
      </c>
      <c r="N63" t="str">
        <f t="shared" si="20"/>
        <v>rhenlin@uwo.ca</v>
      </c>
      <c r="O63" t="str">
        <f t="shared" si="21"/>
        <v>shogeter@uwo.ca</v>
      </c>
      <c r="P63" t="str">
        <f t="shared" si="22"/>
        <v>pnorton4@uwo.ca</v>
      </c>
      <c r="Q63" t="str">
        <f t="shared" si="23"/>
        <v/>
      </c>
      <c r="R63" t="str">
        <f t="shared" si="24"/>
        <v>rhenlin@uwo.ca;shogeter@uwo.ca;pnorton4@uwo.ca</v>
      </c>
      <c r="U63">
        <f>IF(COUNTIF($A$2:$A63,$A63)=1,$A63,"")</f>
        <v>21</v>
      </c>
      <c r="V63">
        <f>IFERROR(INDEX($U$2:$U$349,_xlfn.AGGREGATE(15,6,(ROW($U$2:$U$349)-ROW($U$2)+1)/($U$2:$U$349&lt;&gt;""),ROWS(V$2:V63))),"")</f>
        <v>62</v>
      </c>
    </row>
    <row r="64" spans="1:22" x14ac:dyDescent="0.2">
      <c r="A64">
        <v>21</v>
      </c>
      <c r="B64" t="s">
        <v>86</v>
      </c>
      <c r="E64" s="1">
        <f t="shared" si="25"/>
        <v>63</v>
      </c>
      <c r="F64">
        <f t="shared" si="8"/>
        <v>65</v>
      </c>
      <c r="G64">
        <f t="shared" si="9"/>
        <v>63</v>
      </c>
      <c r="H64">
        <f t="shared" si="10"/>
        <v>61</v>
      </c>
      <c r="I64">
        <f t="shared" si="0"/>
        <v>3</v>
      </c>
      <c r="J64" t="str">
        <f t="shared" si="1"/>
        <v>manjos2</v>
      </c>
      <c r="K64" t="str">
        <f t="shared" si="2"/>
        <v>ipaters2</v>
      </c>
      <c r="L64" t="str">
        <f t="shared" si="3"/>
        <v>apaulley</v>
      </c>
      <c r="M64" t="str">
        <f t="shared" si="4"/>
        <v/>
      </c>
      <c r="N64" t="str">
        <f t="shared" si="20"/>
        <v>manjos2@uwo.ca</v>
      </c>
      <c r="O64" t="str">
        <f t="shared" si="21"/>
        <v>ipaters2@uwo.ca</v>
      </c>
      <c r="P64" t="str">
        <f t="shared" si="22"/>
        <v>apaulley@uwo.ca</v>
      </c>
      <c r="Q64" t="str">
        <f t="shared" si="23"/>
        <v/>
      </c>
      <c r="R64" t="str">
        <f t="shared" si="24"/>
        <v>manjos2@uwo.ca;ipaters2@uwo.ca;apaulley@uwo.ca</v>
      </c>
      <c r="U64" t="str">
        <f>IF(COUNTIF($A$2:$A64,$A64)=1,$A64,"")</f>
        <v/>
      </c>
      <c r="V64">
        <f>IFERROR(INDEX($U$2:$U$349,_xlfn.AGGREGATE(15,6,(ROW($U$2:$U$349)-ROW($U$2)+1)/($U$2:$U$349&lt;&gt;""),ROWS(V$2:V64))),"")</f>
        <v>63</v>
      </c>
    </row>
    <row r="65" spans="1:22" x14ac:dyDescent="0.2">
      <c r="A65">
        <v>21</v>
      </c>
      <c r="B65" t="s">
        <v>87</v>
      </c>
      <c r="E65" s="1">
        <f t="shared" si="25"/>
        <v>64</v>
      </c>
      <c r="F65">
        <f t="shared" si="8"/>
        <v>66</v>
      </c>
      <c r="G65">
        <f t="shared" si="9"/>
        <v>64</v>
      </c>
      <c r="H65">
        <f t="shared" si="10"/>
        <v>62</v>
      </c>
      <c r="I65">
        <f t="shared" si="0"/>
        <v>3</v>
      </c>
      <c r="J65" t="str">
        <f t="shared" si="1"/>
        <v>afishe64</v>
      </c>
      <c r="K65" t="str">
        <f t="shared" si="2"/>
        <v>epenaloz</v>
      </c>
      <c r="L65" t="str">
        <f t="shared" si="3"/>
        <v>nwong269</v>
      </c>
      <c r="M65" t="str">
        <f t="shared" si="4"/>
        <v/>
      </c>
      <c r="N65" t="str">
        <f t="shared" si="20"/>
        <v>afishe64@uwo.ca</v>
      </c>
      <c r="O65" t="str">
        <f t="shared" si="21"/>
        <v>epenaloz@uwo.ca</v>
      </c>
      <c r="P65" t="str">
        <f t="shared" si="22"/>
        <v>nwong269@uwo.ca</v>
      </c>
      <c r="Q65" t="str">
        <f t="shared" si="23"/>
        <v/>
      </c>
      <c r="R65" t="str">
        <f t="shared" si="24"/>
        <v>afishe64@uwo.ca;epenaloz@uwo.ca;nwong269@uwo.ca</v>
      </c>
      <c r="U65" t="str">
        <f>IF(COUNTIF($A$2:$A65,$A65)=1,$A65,"")</f>
        <v/>
      </c>
      <c r="V65">
        <f>IFERROR(INDEX($U$2:$U$349,_xlfn.AGGREGATE(15,6,(ROW($U$2:$U$349)-ROW($U$2)+1)/($U$2:$U$349&lt;&gt;""),ROWS(V$2:V65))),"")</f>
        <v>64</v>
      </c>
    </row>
    <row r="66" spans="1:22" x14ac:dyDescent="0.2">
      <c r="A66">
        <v>22</v>
      </c>
      <c r="B66" t="s">
        <v>88</v>
      </c>
      <c r="E66" s="1">
        <f t="shared" si="25"/>
        <v>65</v>
      </c>
      <c r="F66">
        <f t="shared" si="8"/>
        <v>67</v>
      </c>
      <c r="G66">
        <f t="shared" si="9"/>
        <v>65</v>
      </c>
      <c r="H66">
        <f t="shared" si="10"/>
        <v>63</v>
      </c>
      <c r="I66">
        <f t="shared" ref="I66:I129" si="26">COUNTIF($A$2:$A$252,"="&amp;E66)</f>
        <v>3</v>
      </c>
      <c r="J66" t="str">
        <f t="shared" ref="J66:J129" si="27">IF($I66&gt;0,INDEX(A$2:B$349,MATCH($E66,A$2:A$349,0),2),"")</f>
        <v>ahusein3</v>
      </c>
      <c r="K66" t="str">
        <f t="shared" ref="K66:K129" si="28">IF($I66&gt;1,INDEX(A$2:B$349,MATCH($E66,A$2:A$349,0)+1,2),"")</f>
        <v>mlopezmi</v>
      </c>
      <c r="L66" t="str">
        <f t="shared" ref="L66:L129" si="29">IF($I66&gt;2,INDEX(A$2:B$349,MATCH($E66,A$2:A$349,0)+2,2),"")</f>
        <v>jwhitma2</v>
      </c>
      <c r="M66" t="str">
        <f t="shared" ref="M66:M129" si="30">IF($I66&gt;3,INDEX(A$2:B$349,MATCH($E66,A$2:A$349,0)+3,2),"")</f>
        <v/>
      </c>
      <c r="N66" t="str">
        <f t="shared" si="20"/>
        <v>ahusein3@uwo.ca</v>
      </c>
      <c r="O66" t="str">
        <f t="shared" si="21"/>
        <v>mlopezmi@uwo.ca</v>
      </c>
      <c r="P66" t="str">
        <f t="shared" si="22"/>
        <v>jwhitma2@uwo.ca</v>
      </c>
      <c r="Q66" t="str">
        <f t="shared" si="23"/>
        <v/>
      </c>
      <c r="R66" t="str">
        <f t="shared" si="24"/>
        <v>ahusein3@uwo.ca;mlopezmi@uwo.ca;jwhitma2@uwo.ca</v>
      </c>
      <c r="U66">
        <f>IF(COUNTIF($A$2:$A66,$A66)=1,$A66,"")</f>
        <v>22</v>
      </c>
      <c r="V66">
        <f>IFERROR(INDEX($U$2:$U$349,_xlfn.AGGREGATE(15,6,(ROW($U$2:$U$349)-ROW($U$2)+1)/($U$2:$U$349&lt;&gt;""),ROWS(V$2:V66))),"")</f>
        <v>65</v>
      </c>
    </row>
    <row r="67" spans="1:22" x14ac:dyDescent="0.2">
      <c r="A67">
        <v>22</v>
      </c>
      <c r="B67" t="s">
        <v>89</v>
      </c>
      <c r="E67" s="1">
        <f t="shared" si="25"/>
        <v>66</v>
      </c>
      <c r="F67">
        <f t="shared" ref="F67:F100" si="31">IF(E67+$D$2&gt;$C$2,E67+$D$2-$C$2, E67+$D$2)</f>
        <v>68</v>
      </c>
      <c r="G67">
        <f t="shared" ref="G67:G100" si="32">E67</f>
        <v>66</v>
      </c>
      <c r="H67">
        <f t="shared" ref="H67:H100" si="33">VLOOKUP(E67,F$2:G$100,2,FALSE)</f>
        <v>64</v>
      </c>
      <c r="I67">
        <f t="shared" si="26"/>
        <v>3</v>
      </c>
      <c r="J67" t="str">
        <f t="shared" si="27"/>
        <v>jli2689</v>
      </c>
      <c r="K67" t="str">
        <f t="shared" si="28"/>
        <v>jwan992</v>
      </c>
      <c r="L67" t="str">
        <f t="shared" si="29"/>
        <v>jwu583</v>
      </c>
      <c r="M67" t="str">
        <f t="shared" si="30"/>
        <v/>
      </c>
      <c r="N67" t="str">
        <f t="shared" si="20"/>
        <v>jli2689@uwo.ca</v>
      </c>
      <c r="O67" t="str">
        <f t="shared" si="21"/>
        <v>jwan992@uwo.ca</v>
      </c>
      <c r="P67" t="str">
        <f t="shared" si="22"/>
        <v>jwu583@uwo.ca</v>
      </c>
      <c r="Q67" t="str">
        <f t="shared" si="23"/>
        <v/>
      </c>
      <c r="R67" t="str">
        <f t="shared" si="24"/>
        <v>jli2689@uwo.ca;jwan992@uwo.ca;jwu583@uwo.ca</v>
      </c>
      <c r="U67" t="str">
        <f>IF(COUNTIF($A$2:$A67,$A67)=1,$A67,"")</f>
        <v/>
      </c>
      <c r="V67">
        <f>IFERROR(INDEX($U$2:$U$349,_xlfn.AGGREGATE(15,6,(ROW($U$2:$U$349)-ROW($U$2)+1)/($U$2:$U$349&lt;&gt;""),ROWS(V$2:V67))),"")</f>
        <v>66</v>
      </c>
    </row>
    <row r="68" spans="1:22" x14ac:dyDescent="0.2">
      <c r="A68">
        <v>22</v>
      </c>
      <c r="B68" t="s">
        <v>90</v>
      </c>
      <c r="E68" s="1">
        <f t="shared" si="25"/>
        <v>67</v>
      </c>
      <c r="F68">
        <f t="shared" si="31"/>
        <v>69</v>
      </c>
      <c r="G68">
        <f t="shared" si="32"/>
        <v>67</v>
      </c>
      <c r="H68">
        <f t="shared" si="33"/>
        <v>65</v>
      </c>
      <c r="I68">
        <f t="shared" si="26"/>
        <v>3</v>
      </c>
      <c r="J68" t="str">
        <f t="shared" si="27"/>
        <v>kbonsu3</v>
      </c>
      <c r="K68" t="str">
        <f t="shared" si="28"/>
        <v>arahugna</v>
      </c>
      <c r="L68" t="str">
        <f t="shared" si="29"/>
        <v>ewong385</v>
      </c>
      <c r="M68" t="str">
        <f t="shared" si="30"/>
        <v/>
      </c>
      <c r="N68" t="str">
        <f t="shared" si="20"/>
        <v>kbonsu3@uwo.ca</v>
      </c>
      <c r="O68" t="str">
        <f t="shared" si="21"/>
        <v>arahugna@uwo.ca</v>
      </c>
      <c r="P68" t="str">
        <f t="shared" si="22"/>
        <v>ewong385@uwo.ca</v>
      </c>
      <c r="Q68" t="str">
        <f t="shared" si="23"/>
        <v/>
      </c>
      <c r="R68" t="str">
        <f t="shared" si="24"/>
        <v>kbonsu3@uwo.ca;arahugna@uwo.ca;ewong385@uwo.ca</v>
      </c>
      <c r="U68" t="str">
        <f>IF(COUNTIF($A$2:$A68,$A68)=1,$A68,"")</f>
        <v/>
      </c>
      <c r="V68">
        <f>IFERROR(INDEX($U$2:$U$349,_xlfn.AGGREGATE(15,6,(ROW($U$2:$U$349)-ROW($U$2)+1)/($U$2:$U$349&lt;&gt;""),ROWS(V$2:V68))),"")</f>
        <v>67</v>
      </c>
    </row>
    <row r="69" spans="1:22" x14ac:dyDescent="0.2">
      <c r="A69">
        <v>23</v>
      </c>
      <c r="B69" t="s">
        <v>91</v>
      </c>
      <c r="E69" s="1">
        <f t="shared" si="25"/>
        <v>68</v>
      </c>
      <c r="F69">
        <f t="shared" si="31"/>
        <v>70</v>
      </c>
      <c r="G69">
        <f t="shared" si="32"/>
        <v>68</v>
      </c>
      <c r="H69">
        <f t="shared" si="33"/>
        <v>66</v>
      </c>
      <c r="I69">
        <f t="shared" si="26"/>
        <v>3</v>
      </c>
      <c r="J69" t="str">
        <f t="shared" si="27"/>
        <v>rna5</v>
      </c>
      <c r="K69" t="str">
        <f t="shared" si="28"/>
        <v>xyang494</v>
      </c>
      <c r="L69" t="str">
        <f t="shared" si="29"/>
        <v>szhan544</v>
      </c>
      <c r="M69" t="str">
        <f t="shared" si="30"/>
        <v/>
      </c>
      <c r="N69" t="str">
        <f t="shared" si="20"/>
        <v>rna5@uwo.ca</v>
      </c>
      <c r="O69" t="str">
        <f t="shared" si="21"/>
        <v>xyang494@uwo.ca</v>
      </c>
      <c r="P69" t="str">
        <f t="shared" si="22"/>
        <v>szhan544@uwo.ca</v>
      </c>
      <c r="Q69" t="str">
        <f t="shared" si="23"/>
        <v/>
      </c>
      <c r="R69" t="str">
        <f t="shared" si="24"/>
        <v>rna5@uwo.ca;xyang494@uwo.ca;szhan544@uwo.ca</v>
      </c>
      <c r="U69">
        <f>IF(COUNTIF($A$2:$A69,$A69)=1,$A69,"")</f>
        <v>23</v>
      </c>
      <c r="V69">
        <f>IFERROR(INDEX($U$2:$U$349,_xlfn.AGGREGATE(15,6,(ROW($U$2:$U$349)-ROW($U$2)+1)/($U$2:$U$349&lt;&gt;""),ROWS(V$2:V69))),"")</f>
        <v>68</v>
      </c>
    </row>
    <row r="70" spans="1:22" x14ac:dyDescent="0.2">
      <c r="A70">
        <v>23</v>
      </c>
      <c r="B70" t="s">
        <v>92</v>
      </c>
      <c r="E70" s="1">
        <f t="shared" si="25"/>
        <v>69</v>
      </c>
      <c r="F70">
        <f t="shared" si="31"/>
        <v>71</v>
      </c>
      <c r="G70">
        <f t="shared" si="32"/>
        <v>69</v>
      </c>
      <c r="H70">
        <f t="shared" si="33"/>
        <v>67</v>
      </c>
      <c r="I70">
        <f t="shared" si="26"/>
        <v>3</v>
      </c>
      <c r="J70" t="str">
        <f t="shared" si="27"/>
        <v>mkim736</v>
      </c>
      <c r="K70" t="str">
        <f t="shared" si="28"/>
        <v>amadan23</v>
      </c>
      <c r="L70" t="str">
        <f t="shared" si="29"/>
        <v>asion</v>
      </c>
      <c r="M70" t="str">
        <f t="shared" si="30"/>
        <v/>
      </c>
      <c r="N70" t="str">
        <f t="shared" si="20"/>
        <v>mkim736@uwo.ca</v>
      </c>
      <c r="O70" t="str">
        <f t="shared" si="21"/>
        <v>amadan23@uwo.ca</v>
      </c>
      <c r="P70" t="str">
        <f t="shared" si="22"/>
        <v>asion@uwo.ca</v>
      </c>
      <c r="Q70" t="str">
        <f t="shared" si="23"/>
        <v/>
      </c>
      <c r="R70" t="str">
        <f t="shared" si="24"/>
        <v>mkim736@uwo.ca;amadan23@uwo.ca;asion@uwo.ca</v>
      </c>
      <c r="U70" t="str">
        <f>IF(COUNTIF($A$2:$A70,$A70)=1,$A70,"")</f>
        <v/>
      </c>
      <c r="V70">
        <f>IFERROR(INDEX($U$2:$U$349,_xlfn.AGGREGATE(15,6,(ROW($U$2:$U$349)-ROW($U$2)+1)/($U$2:$U$349&lt;&gt;""),ROWS(V$2:V70))),"")</f>
        <v>69</v>
      </c>
    </row>
    <row r="71" spans="1:22" x14ac:dyDescent="0.2">
      <c r="A71">
        <v>23</v>
      </c>
      <c r="B71" t="s">
        <v>93</v>
      </c>
      <c r="E71" s="1">
        <f t="shared" si="25"/>
        <v>70</v>
      </c>
      <c r="F71">
        <f t="shared" si="31"/>
        <v>72</v>
      </c>
      <c r="G71">
        <f t="shared" si="32"/>
        <v>70</v>
      </c>
      <c r="H71">
        <f t="shared" si="33"/>
        <v>68</v>
      </c>
      <c r="I71">
        <f t="shared" si="26"/>
        <v>3</v>
      </c>
      <c r="J71" t="str">
        <f t="shared" si="27"/>
        <v>abroekhu</v>
      </c>
      <c r="K71" t="str">
        <f t="shared" si="28"/>
        <v>gdanaya</v>
      </c>
      <c r="L71" t="str">
        <f t="shared" si="29"/>
        <v>jfiedler</v>
      </c>
      <c r="M71" t="str">
        <f t="shared" si="30"/>
        <v/>
      </c>
      <c r="N71" t="str">
        <f t="shared" si="20"/>
        <v>abroekhu@uwo.ca</v>
      </c>
      <c r="O71" t="str">
        <f t="shared" si="21"/>
        <v>gdanaya@uwo.ca</v>
      </c>
      <c r="P71" t="str">
        <f t="shared" si="22"/>
        <v>jfiedler@uwo.ca</v>
      </c>
      <c r="Q71" t="str">
        <f t="shared" si="23"/>
        <v/>
      </c>
      <c r="R71" t="str">
        <f t="shared" si="24"/>
        <v>abroekhu@uwo.ca;gdanaya@uwo.ca;jfiedler@uwo.ca</v>
      </c>
      <c r="U71" t="str">
        <f>IF(COUNTIF($A$2:$A71,$A71)=1,$A71,"")</f>
        <v/>
      </c>
      <c r="V71">
        <f>IFERROR(INDEX($U$2:$U$349,_xlfn.AGGREGATE(15,6,(ROW($U$2:$U$349)-ROW($U$2)+1)/($U$2:$U$349&lt;&gt;""),ROWS(V$2:V71))),"")</f>
        <v>70</v>
      </c>
    </row>
    <row r="72" spans="1:22" x14ac:dyDescent="0.2">
      <c r="A72">
        <v>24</v>
      </c>
      <c r="B72" t="s">
        <v>94</v>
      </c>
      <c r="E72" s="1">
        <f t="shared" si="25"/>
        <v>71</v>
      </c>
      <c r="F72">
        <f t="shared" si="31"/>
        <v>73</v>
      </c>
      <c r="G72">
        <f t="shared" si="32"/>
        <v>71</v>
      </c>
      <c r="H72">
        <f t="shared" si="33"/>
        <v>69</v>
      </c>
      <c r="I72">
        <f t="shared" si="26"/>
        <v>3</v>
      </c>
      <c r="J72" t="str">
        <f t="shared" si="27"/>
        <v>lgunn4</v>
      </c>
      <c r="K72" t="str">
        <f t="shared" si="28"/>
        <v>cmarek2</v>
      </c>
      <c r="L72" t="str">
        <f t="shared" si="29"/>
        <v>knguy47</v>
      </c>
      <c r="M72" t="str">
        <f t="shared" si="30"/>
        <v/>
      </c>
      <c r="N72" t="str">
        <f t="shared" si="20"/>
        <v>lgunn4@uwo.ca</v>
      </c>
      <c r="O72" t="str">
        <f t="shared" si="21"/>
        <v>cmarek2@uwo.ca</v>
      </c>
      <c r="P72" t="str">
        <f t="shared" si="22"/>
        <v>knguy47@uwo.ca</v>
      </c>
      <c r="Q72" t="str">
        <f t="shared" si="23"/>
        <v/>
      </c>
      <c r="R72" t="str">
        <f t="shared" si="24"/>
        <v>lgunn4@uwo.ca;cmarek2@uwo.ca;knguy47@uwo.ca</v>
      </c>
      <c r="U72">
        <f>IF(COUNTIF($A$2:$A72,$A72)=1,$A72,"")</f>
        <v>24</v>
      </c>
      <c r="V72">
        <f>IFERROR(INDEX($U$2:$U$349,_xlfn.AGGREGATE(15,6,(ROW($U$2:$U$349)-ROW($U$2)+1)/($U$2:$U$349&lt;&gt;""),ROWS(V$2:V72))),"")</f>
        <v>71</v>
      </c>
    </row>
    <row r="73" spans="1:22" x14ac:dyDescent="0.2">
      <c r="A73">
        <v>24</v>
      </c>
      <c r="B73" t="s">
        <v>95</v>
      </c>
      <c r="E73" s="1">
        <f t="shared" si="25"/>
        <v>72</v>
      </c>
      <c r="F73">
        <f t="shared" si="31"/>
        <v>74</v>
      </c>
      <c r="G73">
        <f t="shared" si="32"/>
        <v>72</v>
      </c>
      <c r="H73">
        <f t="shared" si="33"/>
        <v>70</v>
      </c>
      <c r="I73">
        <f t="shared" si="26"/>
        <v>3</v>
      </c>
      <c r="J73" t="str">
        <f t="shared" si="27"/>
        <v>hkaawan</v>
      </c>
      <c r="K73" t="str">
        <f t="shared" si="28"/>
        <v>snikpou2</v>
      </c>
      <c r="L73" t="str">
        <f t="shared" si="29"/>
        <v>byousafz</v>
      </c>
      <c r="M73" t="str">
        <f t="shared" si="30"/>
        <v/>
      </c>
      <c r="N73" t="str">
        <f t="shared" si="20"/>
        <v>hkaawan@uwo.ca</v>
      </c>
      <c r="O73" t="str">
        <f t="shared" si="21"/>
        <v>snikpou2@uwo.ca</v>
      </c>
      <c r="P73" t="str">
        <f t="shared" si="22"/>
        <v>byousafz@uwo.ca</v>
      </c>
      <c r="Q73" t="str">
        <f t="shared" si="23"/>
        <v/>
      </c>
      <c r="R73" t="str">
        <f t="shared" si="24"/>
        <v>hkaawan@uwo.ca;snikpou2@uwo.ca;byousafz@uwo.ca</v>
      </c>
      <c r="U73" t="str">
        <f>IF(COUNTIF($A$2:$A73,$A73)=1,$A73,"")</f>
        <v/>
      </c>
      <c r="V73">
        <f>IFERROR(INDEX($U$2:$U$349,_xlfn.AGGREGATE(15,6,(ROW($U$2:$U$349)-ROW($U$2)+1)/($U$2:$U$349&lt;&gt;""),ROWS(V$2:V73))),"")</f>
        <v>72</v>
      </c>
    </row>
    <row r="74" spans="1:22" x14ac:dyDescent="0.2">
      <c r="A74">
        <v>24</v>
      </c>
      <c r="B74" t="s">
        <v>96</v>
      </c>
      <c r="E74" s="1">
        <f t="shared" si="25"/>
        <v>73</v>
      </c>
      <c r="F74">
        <v>77</v>
      </c>
      <c r="G74">
        <f t="shared" si="32"/>
        <v>73</v>
      </c>
      <c r="H74">
        <f t="shared" si="33"/>
        <v>71</v>
      </c>
      <c r="I74">
        <f t="shared" si="26"/>
        <v>3</v>
      </c>
      <c r="J74" t="str">
        <f t="shared" si="27"/>
        <v>mmcmull4</v>
      </c>
      <c r="K74" t="str">
        <f t="shared" si="28"/>
        <v>npattni</v>
      </c>
      <c r="L74" t="str">
        <f t="shared" si="29"/>
        <v>dtruon6</v>
      </c>
      <c r="M74" t="str">
        <f t="shared" si="30"/>
        <v/>
      </c>
      <c r="N74" t="str">
        <f t="shared" si="20"/>
        <v>mmcmull4@uwo.ca</v>
      </c>
      <c r="O74" t="str">
        <f t="shared" si="21"/>
        <v>npattni@uwo.ca</v>
      </c>
      <c r="P74" t="str">
        <f t="shared" si="22"/>
        <v>dtruon6@uwo.ca</v>
      </c>
      <c r="Q74" t="str">
        <f t="shared" si="23"/>
        <v/>
      </c>
      <c r="R74" t="str">
        <f t="shared" si="24"/>
        <v>mmcmull4@uwo.ca;npattni@uwo.ca;dtruon6@uwo.ca</v>
      </c>
      <c r="U74" t="str">
        <f>IF(COUNTIF($A$2:$A74,$A74)=1,$A74,"")</f>
        <v/>
      </c>
      <c r="V74">
        <f>IFERROR(INDEX($U$2:$U$349,_xlfn.AGGREGATE(15,6,(ROW($U$2:$U$349)-ROW($U$2)+1)/($U$2:$U$349&lt;&gt;""),ROWS(V$2:V74))),"")</f>
        <v>73</v>
      </c>
    </row>
    <row r="75" spans="1:22" x14ac:dyDescent="0.2">
      <c r="A75">
        <v>25</v>
      </c>
      <c r="B75" t="s">
        <v>97</v>
      </c>
      <c r="E75" s="1">
        <f t="shared" ref="E75:E100" si="34">V75</f>
        <v>74</v>
      </c>
      <c r="F75">
        <f t="shared" si="31"/>
        <v>76</v>
      </c>
      <c r="G75">
        <f t="shared" si="32"/>
        <v>74</v>
      </c>
      <c r="H75">
        <f t="shared" si="33"/>
        <v>72</v>
      </c>
      <c r="I75">
        <f t="shared" si="26"/>
        <v>3</v>
      </c>
      <c r="J75" t="str">
        <f t="shared" si="27"/>
        <v>zliu855</v>
      </c>
      <c r="K75" t="str">
        <f t="shared" si="28"/>
        <v>cshi62</v>
      </c>
      <c r="L75" t="str">
        <f t="shared" si="29"/>
        <v>vzhang23</v>
      </c>
      <c r="M75" t="str">
        <f t="shared" si="30"/>
        <v/>
      </c>
      <c r="N75" t="str">
        <f t="shared" si="20"/>
        <v>zliu855@uwo.ca</v>
      </c>
      <c r="O75" t="str">
        <f t="shared" si="21"/>
        <v>cshi62@uwo.ca</v>
      </c>
      <c r="P75" t="str">
        <f t="shared" si="22"/>
        <v>vzhang23@uwo.ca</v>
      </c>
      <c r="Q75" t="str">
        <f t="shared" si="23"/>
        <v/>
      </c>
      <c r="R75" t="str">
        <f t="shared" si="24"/>
        <v>zliu855@uwo.ca;cshi62@uwo.ca;vzhang23@uwo.ca</v>
      </c>
      <c r="U75">
        <f>IF(COUNTIF($A$2:$A75,$A75)=1,$A75,"")</f>
        <v>25</v>
      </c>
      <c r="V75">
        <f>IFERROR(INDEX($U$2:$U$349,_xlfn.AGGREGATE(15,6,(ROW($U$2:$U$349)-ROW($U$2)+1)/($U$2:$U$349&lt;&gt;""),ROWS(V$2:V75))),"")</f>
        <v>74</v>
      </c>
    </row>
    <row r="76" spans="1:22" x14ac:dyDescent="0.2">
      <c r="A76">
        <v>25</v>
      </c>
      <c r="B76" t="s">
        <v>98</v>
      </c>
      <c r="E76" s="1">
        <f t="shared" si="34"/>
        <v>76</v>
      </c>
      <c r="F76">
        <f t="shared" si="31"/>
        <v>78</v>
      </c>
      <c r="G76">
        <f t="shared" si="32"/>
        <v>76</v>
      </c>
      <c r="H76">
        <f t="shared" si="33"/>
        <v>74</v>
      </c>
      <c r="I76">
        <f t="shared" si="26"/>
        <v>3</v>
      </c>
      <c r="J76" t="str">
        <f t="shared" si="27"/>
        <v>yche2446</v>
      </c>
      <c r="K76" t="str">
        <f t="shared" si="28"/>
        <v>nshen23</v>
      </c>
      <c r="L76" t="str">
        <f t="shared" si="29"/>
        <v>jzha88</v>
      </c>
      <c r="M76" t="str">
        <f t="shared" si="30"/>
        <v/>
      </c>
      <c r="N76" t="str">
        <f t="shared" si="20"/>
        <v>yche2446@uwo.ca</v>
      </c>
      <c r="O76" t="str">
        <f t="shared" si="21"/>
        <v>nshen23@uwo.ca</v>
      </c>
      <c r="P76" t="str">
        <f t="shared" si="22"/>
        <v>jzha88@uwo.ca</v>
      </c>
      <c r="Q76" t="str">
        <f t="shared" si="23"/>
        <v/>
      </c>
      <c r="R76" t="str">
        <f t="shared" si="24"/>
        <v>yche2446@uwo.ca;nshen23@uwo.ca;jzha88@uwo.ca</v>
      </c>
      <c r="U76" t="str">
        <f>IF(COUNTIF($A$2:$A76,$A76)=1,$A76,"")</f>
        <v/>
      </c>
      <c r="V76">
        <f>IFERROR(INDEX($U$2:$U$349,_xlfn.AGGREGATE(15,6,(ROW($U$2:$U$349)-ROW($U$2)+1)/($U$2:$U$349&lt;&gt;""),ROWS(V$2:V76))),"")</f>
        <v>76</v>
      </c>
    </row>
    <row r="77" spans="1:22" x14ac:dyDescent="0.2">
      <c r="A77">
        <v>25</v>
      </c>
      <c r="B77" t="s">
        <v>99</v>
      </c>
      <c r="E77" s="1">
        <f t="shared" si="34"/>
        <v>77</v>
      </c>
      <c r="F77">
        <f t="shared" si="31"/>
        <v>79</v>
      </c>
      <c r="G77">
        <f t="shared" si="32"/>
        <v>77</v>
      </c>
      <c r="H77">
        <f t="shared" si="33"/>
        <v>73</v>
      </c>
      <c r="I77">
        <f t="shared" si="26"/>
        <v>3</v>
      </c>
      <c r="J77" t="str">
        <f t="shared" si="27"/>
        <v>aelfarr2</v>
      </c>
      <c r="K77" t="str">
        <f t="shared" si="28"/>
        <v>afaid</v>
      </c>
      <c r="L77" t="str">
        <f t="shared" si="29"/>
        <v>ifarid</v>
      </c>
      <c r="M77" t="str">
        <f t="shared" si="30"/>
        <v/>
      </c>
      <c r="N77" t="str">
        <f t="shared" ref="N77:N141" si="35">IF(J77&lt;&gt;"",CONCATENATE(J77,"@uwo.ca",""),"")</f>
        <v>aelfarr2@uwo.ca</v>
      </c>
      <c r="O77" t="str">
        <f t="shared" ref="O77:O141" si="36">IF(K77&lt;&gt;"",CONCATENATE(K77,"@uwo.ca",""),"")</f>
        <v>afaid@uwo.ca</v>
      </c>
      <c r="P77" t="str">
        <f t="shared" ref="P77:P141" si="37">IF(L77&lt;&gt;"",CONCATENATE(L77,"@uwo.ca",""),"")</f>
        <v>ifarid@uwo.ca</v>
      </c>
      <c r="Q77" t="str">
        <f t="shared" ref="Q77:Q141" si="38">IF(M77&lt;&gt;"",CONCATENATE(M77,"@uwo.ca",""),"")</f>
        <v/>
      </c>
      <c r="R77" t="str">
        <f t="shared" ref="R77:R141" si="39">N77&amp;IF(O77&lt;&gt;"",";"&amp;O77,"")&amp;IF(P77&lt;&gt;"",";"&amp;P77,"")&amp;IF(Q77&lt;&gt;"",";"&amp;Q77,"")</f>
        <v>aelfarr2@uwo.ca;afaid@uwo.ca;ifarid@uwo.ca</v>
      </c>
      <c r="U77" t="str">
        <f>IF(COUNTIF($A$2:$A77,$A77)=1,$A77,"")</f>
        <v/>
      </c>
      <c r="V77">
        <f>IFERROR(INDEX($U$2:$U$349,_xlfn.AGGREGATE(15,6,(ROW($U$2:$U$349)-ROW($U$2)+1)/($U$2:$U$349&lt;&gt;""),ROWS(V$2:V77))),"")</f>
        <v>77</v>
      </c>
    </row>
    <row r="78" spans="1:22" x14ac:dyDescent="0.2">
      <c r="A78">
        <v>26</v>
      </c>
      <c r="B78" t="s">
        <v>100</v>
      </c>
      <c r="E78" s="1">
        <f t="shared" si="34"/>
        <v>78</v>
      </c>
      <c r="F78">
        <f t="shared" si="31"/>
        <v>80</v>
      </c>
      <c r="G78">
        <f t="shared" si="32"/>
        <v>78</v>
      </c>
      <c r="H78">
        <f t="shared" si="33"/>
        <v>76</v>
      </c>
      <c r="I78">
        <f t="shared" si="26"/>
        <v>3</v>
      </c>
      <c r="J78" t="str">
        <f t="shared" si="27"/>
        <v>vbrancus</v>
      </c>
      <c r="K78" t="str">
        <f t="shared" si="28"/>
        <v>icheong2</v>
      </c>
      <c r="L78" t="str">
        <f t="shared" si="29"/>
        <v>ayung8</v>
      </c>
      <c r="M78" t="str">
        <f t="shared" si="30"/>
        <v/>
      </c>
      <c r="N78" t="str">
        <f t="shared" si="35"/>
        <v>vbrancus@uwo.ca</v>
      </c>
      <c r="O78" t="str">
        <f t="shared" si="36"/>
        <v>icheong2@uwo.ca</v>
      </c>
      <c r="P78" t="str">
        <f t="shared" si="37"/>
        <v>ayung8@uwo.ca</v>
      </c>
      <c r="Q78" t="str">
        <f t="shared" si="38"/>
        <v/>
      </c>
      <c r="R78" t="str">
        <f t="shared" si="39"/>
        <v>vbrancus@uwo.ca;icheong2@uwo.ca;ayung8@uwo.ca</v>
      </c>
      <c r="U78">
        <f>IF(COUNTIF($A$2:$A78,$A78)=1,$A78,"")</f>
        <v>26</v>
      </c>
      <c r="V78">
        <f>IFERROR(INDEX($U$2:$U$349,_xlfn.AGGREGATE(15,6,(ROW($U$2:$U$349)-ROW($U$2)+1)/($U$2:$U$349&lt;&gt;""),ROWS(V$2:V78))),"")</f>
        <v>78</v>
      </c>
    </row>
    <row r="79" spans="1:22" x14ac:dyDescent="0.2">
      <c r="A79">
        <v>26</v>
      </c>
      <c r="B79" t="s">
        <v>101</v>
      </c>
      <c r="E79" s="1">
        <f t="shared" si="34"/>
        <v>79</v>
      </c>
      <c r="F79">
        <f t="shared" si="31"/>
        <v>81</v>
      </c>
      <c r="G79">
        <f t="shared" si="32"/>
        <v>79</v>
      </c>
      <c r="H79">
        <f t="shared" si="33"/>
        <v>77</v>
      </c>
      <c r="I79">
        <f t="shared" si="26"/>
        <v>3</v>
      </c>
      <c r="J79" t="str">
        <f t="shared" si="27"/>
        <v>mens3</v>
      </c>
      <c r="K79" t="str">
        <f t="shared" si="28"/>
        <v>mmombou</v>
      </c>
      <c r="L79" t="str">
        <f t="shared" si="29"/>
        <v>sshah443</v>
      </c>
      <c r="M79" t="str">
        <f t="shared" si="30"/>
        <v/>
      </c>
      <c r="N79" t="str">
        <f t="shared" si="35"/>
        <v>mens3@uwo.ca</v>
      </c>
      <c r="O79" t="str">
        <f t="shared" si="36"/>
        <v>mmombou@uwo.ca</v>
      </c>
      <c r="P79" t="str">
        <f t="shared" si="37"/>
        <v>sshah443@uwo.ca</v>
      </c>
      <c r="Q79" t="str">
        <f t="shared" si="38"/>
        <v/>
      </c>
      <c r="R79" t="str">
        <f t="shared" si="39"/>
        <v>mens3@uwo.ca;mmombou@uwo.ca;sshah443@uwo.ca</v>
      </c>
      <c r="U79" t="str">
        <f>IF(COUNTIF($A$2:$A79,$A79)=1,$A79,"")</f>
        <v/>
      </c>
      <c r="V79">
        <f>IFERROR(INDEX($U$2:$U$349,_xlfn.AGGREGATE(15,6,(ROW($U$2:$U$349)-ROW($U$2)+1)/($U$2:$U$349&lt;&gt;""),ROWS(V$2:V79))),"")</f>
        <v>79</v>
      </c>
    </row>
    <row r="80" spans="1:22" x14ac:dyDescent="0.2">
      <c r="A80">
        <v>26</v>
      </c>
      <c r="B80" t="s">
        <v>102</v>
      </c>
      <c r="E80" s="1">
        <f t="shared" si="34"/>
        <v>80</v>
      </c>
      <c r="F80">
        <f t="shared" si="31"/>
        <v>82</v>
      </c>
      <c r="G80">
        <f t="shared" si="32"/>
        <v>80</v>
      </c>
      <c r="H80">
        <f t="shared" si="33"/>
        <v>78</v>
      </c>
      <c r="I80">
        <f t="shared" si="26"/>
        <v>3</v>
      </c>
      <c r="J80" t="str">
        <f t="shared" si="27"/>
        <v>plakhesa</v>
      </c>
      <c r="K80" t="str">
        <f t="shared" si="28"/>
        <v>ksharm69</v>
      </c>
      <c r="L80" t="str">
        <f t="shared" si="29"/>
        <v>hsuventh</v>
      </c>
      <c r="M80" t="str">
        <f t="shared" si="30"/>
        <v/>
      </c>
      <c r="N80" t="str">
        <f t="shared" si="35"/>
        <v>plakhesa@uwo.ca</v>
      </c>
      <c r="O80" t="str">
        <f t="shared" si="36"/>
        <v>ksharm69@uwo.ca</v>
      </c>
      <c r="P80" t="str">
        <f t="shared" si="37"/>
        <v>hsuventh@uwo.ca</v>
      </c>
      <c r="Q80" t="str">
        <f t="shared" si="38"/>
        <v/>
      </c>
      <c r="R80" t="str">
        <f t="shared" si="39"/>
        <v>plakhesa@uwo.ca;ksharm69@uwo.ca;hsuventh@uwo.ca</v>
      </c>
      <c r="U80" t="str">
        <f>IF(COUNTIF($A$2:$A80,$A80)=1,$A80,"")</f>
        <v/>
      </c>
      <c r="V80">
        <f>IFERROR(INDEX($U$2:$U$349,_xlfn.AGGREGATE(15,6,(ROW($U$2:$U$349)-ROW($U$2)+1)/($U$2:$U$349&lt;&gt;""),ROWS(V$2:V80))),"")</f>
        <v>80</v>
      </c>
    </row>
    <row r="81" spans="1:22" x14ac:dyDescent="0.2">
      <c r="A81">
        <v>27</v>
      </c>
      <c r="B81" t="s">
        <v>103</v>
      </c>
      <c r="E81" s="1">
        <f t="shared" si="34"/>
        <v>81</v>
      </c>
      <c r="F81">
        <f t="shared" si="31"/>
        <v>83</v>
      </c>
      <c r="G81">
        <f t="shared" si="32"/>
        <v>81</v>
      </c>
      <c r="H81">
        <f t="shared" si="33"/>
        <v>79</v>
      </c>
      <c r="I81">
        <f t="shared" si="26"/>
        <v>3</v>
      </c>
      <c r="J81" t="str">
        <f t="shared" si="27"/>
        <v>sahsan27</v>
      </c>
      <c r="K81" t="str">
        <f t="shared" si="28"/>
        <v>ababaryk</v>
      </c>
      <c r="L81" t="str">
        <f t="shared" si="29"/>
        <v>cgonza28</v>
      </c>
      <c r="M81" t="str">
        <f t="shared" si="30"/>
        <v/>
      </c>
      <c r="N81" t="str">
        <f t="shared" si="35"/>
        <v>sahsan27@uwo.ca</v>
      </c>
      <c r="O81" t="str">
        <f t="shared" si="36"/>
        <v>ababaryk@uwo.ca</v>
      </c>
      <c r="P81" t="str">
        <f t="shared" si="37"/>
        <v>cgonza28@uwo.ca</v>
      </c>
      <c r="Q81" t="str">
        <f t="shared" si="38"/>
        <v/>
      </c>
      <c r="R81" t="str">
        <f t="shared" si="39"/>
        <v>sahsan27@uwo.ca;ababaryk@uwo.ca;cgonza28@uwo.ca</v>
      </c>
      <c r="U81">
        <f>IF(COUNTIF($A$2:$A81,$A81)=1,$A81,"")</f>
        <v>27</v>
      </c>
      <c r="V81">
        <f>IFERROR(INDEX($U$2:$U$349,_xlfn.AGGREGATE(15,6,(ROW($U$2:$U$349)-ROW($U$2)+1)/($U$2:$U$349&lt;&gt;""),ROWS(V$2:V81))),"")</f>
        <v>81</v>
      </c>
    </row>
    <row r="82" spans="1:22" x14ac:dyDescent="0.2">
      <c r="A82">
        <v>27</v>
      </c>
      <c r="B82" t="s">
        <v>104</v>
      </c>
      <c r="E82" s="1">
        <f t="shared" si="34"/>
        <v>82</v>
      </c>
      <c r="F82">
        <f t="shared" si="31"/>
        <v>84</v>
      </c>
      <c r="G82">
        <f t="shared" si="32"/>
        <v>82</v>
      </c>
      <c r="H82">
        <f t="shared" si="33"/>
        <v>80</v>
      </c>
      <c r="I82">
        <f t="shared" si="26"/>
        <v>3</v>
      </c>
      <c r="J82" t="str">
        <f t="shared" si="27"/>
        <v>lbernar9</v>
      </c>
      <c r="K82" t="str">
        <f t="shared" si="28"/>
        <v>moh32</v>
      </c>
      <c r="L82" t="str">
        <f t="shared" si="29"/>
        <v>jwoo58</v>
      </c>
      <c r="M82" t="str">
        <f t="shared" si="30"/>
        <v/>
      </c>
      <c r="N82" t="str">
        <f t="shared" si="35"/>
        <v>lbernar9@uwo.ca</v>
      </c>
      <c r="O82" t="str">
        <f t="shared" si="36"/>
        <v>moh32@uwo.ca</v>
      </c>
      <c r="P82" t="str">
        <f t="shared" si="37"/>
        <v>jwoo58@uwo.ca</v>
      </c>
      <c r="Q82" t="str">
        <f t="shared" si="38"/>
        <v/>
      </c>
      <c r="R82" t="str">
        <f t="shared" si="39"/>
        <v>lbernar9@uwo.ca;moh32@uwo.ca;jwoo58@uwo.ca</v>
      </c>
      <c r="U82" t="str">
        <f>IF(COUNTIF($A$2:$A82,$A82)=1,$A82,"")</f>
        <v/>
      </c>
      <c r="V82">
        <f>IFERROR(INDEX($U$2:$U$349,_xlfn.AGGREGATE(15,6,(ROW($U$2:$U$349)-ROW($U$2)+1)/($U$2:$U$349&lt;&gt;""),ROWS(V$2:V82))),"")</f>
        <v>82</v>
      </c>
    </row>
    <row r="83" spans="1:22" x14ac:dyDescent="0.2">
      <c r="A83">
        <v>27</v>
      </c>
      <c r="B83" t="s">
        <v>105</v>
      </c>
      <c r="E83" s="1">
        <f t="shared" si="34"/>
        <v>83</v>
      </c>
      <c r="F83">
        <f t="shared" si="31"/>
        <v>1</v>
      </c>
      <c r="G83">
        <f t="shared" si="32"/>
        <v>83</v>
      </c>
      <c r="H83">
        <f t="shared" si="33"/>
        <v>81</v>
      </c>
      <c r="I83">
        <f t="shared" si="26"/>
        <v>3</v>
      </c>
      <c r="J83" t="str">
        <f t="shared" si="27"/>
        <v>narab2</v>
      </c>
      <c r="K83" t="str">
        <f t="shared" si="28"/>
        <v>bau23</v>
      </c>
      <c r="L83" t="str">
        <f t="shared" si="29"/>
        <v>hkhalif</v>
      </c>
      <c r="M83" t="str">
        <f t="shared" si="30"/>
        <v/>
      </c>
      <c r="N83" t="str">
        <f t="shared" si="35"/>
        <v>narab2@uwo.ca</v>
      </c>
      <c r="O83" t="str">
        <f t="shared" si="36"/>
        <v>bau23@uwo.ca</v>
      </c>
      <c r="P83" t="str">
        <f t="shared" si="37"/>
        <v>hkhalif@uwo.ca</v>
      </c>
      <c r="Q83" t="str">
        <f t="shared" si="38"/>
        <v/>
      </c>
      <c r="R83" t="str">
        <f t="shared" si="39"/>
        <v>narab2@uwo.ca;bau23@uwo.ca;hkhalif@uwo.ca</v>
      </c>
      <c r="U83" t="str">
        <f>IF(COUNTIF($A$2:$A83,$A83)=1,$A83,"")</f>
        <v/>
      </c>
      <c r="V83">
        <f>IFERROR(INDEX($U$2:$U$349,_xlfn.AGGREGATE(15,6,(ROW($U$2:$U$349)-ROW($U$2)+1)/($U$2:$U$349&lt;&gt;""),ROWS(V$2:V83))),"")</f>
        <v>83</v>
      </c>
    </row>
    <row r="84" spans="1:22" x14ac:dyDescent="0.2">
      <c r="A84">
        <v>28</v>
      </c>
      <c r="B84" t="s">
        <v>106</v>
      </c>
      <c r="E84" s="1">
        <f t="shared" si="34"/>
        <v>84</v>
      </c>
      <c r="F84">
        <f t="shared" si="31"/>
        <v>2</v>
      </c>
      <c r="G84">
        <f t="shared" si="32"/>
        <v>84</v>
      </c>
      <c r="H84">
        <f t="shared" si="33"/>
        <v>82</v>
      </c>
      <c r="I84">
        <f t="shared" si="26"/>
        <v>3</v>
      </c>
      <c r="J84" t="str">
        <f t="shared" si="27"/>
        <v>kpandza</v>
      </c>
      <c r="K84" t="str">
        <f t="shared" si="28"/>
        <v>mspassov</v>
      </c>
      <c r="L84" t="str">
        <f t="shared" si="29"/>
        <v>jwan489</v>
      </c>
      <c r="M84" t="str">
        <f t="shared" si="30"/>
        <v/>
      </c>
      <c r="N84" t="str">
        <f t="shared" si="35"/>
        <v>kpandza@uwo.ca</v>
      </c>
      <c r="O84" t="str">
        <f t="shared" si="36"/>
        <v>mspassov@uwo.ca</v>
      </c>
      <c r="P84" t="str">
        <f t="shared" si="37"/>
        <v>jwan489@uwo.ca</v>
      </c>
      <c r="Q84" t="str">
        <f t="shared" si="38"/>
        <v/>
      </c>
      <c r="R84" t="str">
        <f t="shared" si="39"/>
        <v>kpandza@uwo.ca;mspassov@uwo.ca;jwan489@uwo.ca</v>
      </c>
      <c r="U84">
        <f>IF(COUNTIF($A$2:$A84,$A84)=1,$A84,"")</f>
        <v>28</v>
      </c>
      <c r="V84">
        <f>IFERROR(INDEX($U$2:$U$349,_xlfn.AGGREGATE(15,6,(ROW($U$2:$U$349)-ROW($U$2)+1)/($U$2:$U$349&lt;&gt;""),ROWS(V$2:V84))),"")</f>
        <v>84</v>
      </c>
    </row>
    <row r="85" spans="1:22" x14ac:dyDescent="0.2">
      <c r="A85">
        <v>28</v>
      </c>
      <c r="B85" t="s">
        <v>107</v>
      </c>
      <c r="E85" s="1" t="str">
        <f t="shared" si="34"/>
        <v/>
      </c>
      <c r="F85" t="e">
        <f t="shared" si="31"/>
        <v>#VALUE!</v>
      </c>
      <c r="G85" t="str">
        <f t="shared" si="32"/>
        <v/>
      </c>
      <c r="H85" t="e">
        <f t="shared" si="33"/>
        <v>#N/A</v>
      </c>
      <c r="I85">
        <f t="shared" si="26"/>
        <v>0</v>
      </c>
      <c r="J85" t="str">
        <f t="shared" si="27"/>
        <v/>
      </c>
      <c r="K85" t="str">
        <f t="shared" si="28"/>
        <v/>
      </c>
      <c r="L85" t="str">
        <f t="shared" si="29"/>
        <v/>
      </c>
      <c r="M85" t="str">
        <f t="shared" si="30"/>
        <v/>
      </c>
      <c r="N85" t="str">
        <f t="shared" si="35"/>
        <v/>
      </c>
      <c r="O85" t="str">
        <f t="shared" si="36"/>
        <v/>
      </c>
      <c r="P85" t="str">
        <f t="shared" si="37"/>
        <v/>
      </c>
      <c r="Q85" t="str">
        <f t="shared" si="38"/>
        <v/>
      </c>
      <c r="R85" t="str">
        <f t="shared" si="39"/>
        <v/>
      </c>
      <c r="U85" t="str">
        <f>IF(COUNTIF($A$2:$A85,$A85)=1,$A85,"")</f>
        <v/>
      </c>
      <c r="V85" t="str">
        <f>IFERROR(INDEX($U$2:$U$349,_xlfn.AGGREGATE(15,6,(ROW($U$2:$U$349)-ROW($U$2)+1)/($U$2:$U$349&lt;&gt;""),ROWS(V$2:V85))),"")</f>
        <v/>
      </c>
    </row>
    <row r="86" spans="1:22" x14ac:dyDescent="0.2">
      <c r="A86">
        <v>28</v>
      </c>
      <c r="B86" t="s">
        <v>108</v>
      </c>
      <c r="E86" s="1" t="str">
        <f t="shared" si="34"/>
        <v/>
      </c>
      <c r="F86" t="e">
        <f t="shared" si="31"/>
        <v>#VALUE!</v>
      </c>
      <c r="G86" t="str">
        <f t="shared" si="32"/>
        <v/>
      </c>
      <c r="H86" t="e">
        <f t="shared" si="33"/>
        <v>#N/A</v>
      </c>
      <c r="I86">
        <f t="shared" si="26"/>
        <v>0</v>
      </c>
      <c r="J86" t="str">
        <f t="shared" si="27"/>
        <v/>
      </c>
      <c r="K86" t="str">
        <f t="shared" si="28"/>
        <v/>
      </c>
      <c r="L86" t="str">
        <f t="shared" si="29"/>
        <v/>
      </c>
      <c r="M86" t="str">
        <f t="shared" si="30"/>
        <v/>
      </c>
      <c r="N86" t="str">
        <f t="shared" ref="N86:N95" si="40">IF(J86&lt;&gt;"",CONCATENATE(J86,"@uwo.ca",""),"")</f>
        <v/>
      </c>
      <c r="O86" t="str">
        <f t="shared" ref="O86:O95" si="41">IF(K86&lt;&gt;"",CONCATENATE(K86,"@uwo.ca",""),"")</f>
        <v/>
      </c>
      <c r="P86" t="str">
        <f t="shared" ref="P86:P95" si="42">IF(L86&lt;&gt;"",CONCATENATE(L86,"@uwo.ca",""),"")</f>
        <v/>
      </c>
      <c r="Q86" t="str">
        <f t="shared" ref="Q86:Q95" si="43">IF(M86&lt;&gt;"",CONCATENATE(M86,"@uwo.ca",""),"")</f>
        <v/>
      </c>
      <c r="R86" t="str">
        <f t="shared" ref="R86:R95" si="44">N86&amp;IF(O86&lt;&gt;"",";"&amp;O86,"")&amp;IF(P86&lt;&gt;"",";"&amp;P86,"")&amp;IF(Q86&lt;&gt;"",";"&amp;Q86,"")</f>
        <v/>
      </c>
      <c r="U86" t="str">
        <f>IF(COUNTIF($A$2:$A86,$A86)=1,$A86,"")</f>
        <v/>
      </c>
      <c r="V86" t="str">
        <f>IFERROR(INDEX($U$2:$U$349,_xlfn.AGGREGATE(15,6,(ROW($U$2:$U$349)-ROW($U$2)+1)/($U$2:$U$349&lt;&gt;""),ROWS(V$2:V86))),"")</f>
        <v/>
      </c>
    </row>
    <row r="87" spans="1:22" x14ac:dyDescent="0.2">
      <c r="A87">
        <v>29</v>
      </c>
      <c r="B87" t="s">
        <v>109</v>
      </c>
      <c r="E87" s="1" t="str">
        <f t="shared" si="34"/>
        <v/>
      </c>
      <c r="F87" t="e">
        <f t="shared" si="31"/>
        <v>#VALUE!</v>
      </c>
      <c r="G87" t="str">
        <f t="shared" si="32"/>
        <v/>
      </c>
      <c r="H87" t="e">
        <f t="shared" si="33"/>
        <v>#N/A</v>
      </c>
      <c r="I87">
        <f t="shared" si="26"/>
        <v>0</v>
      </c>
      <c r="J87" t="str">
        <f t="shared" si="27"/>
        <v/>
      </c>
      <c r="K87" t="str">
        <f t="shared" si="28"/>
        <v/>
      </c>
      <c r="L87" t="str">
        <f t="shared" si="29"/>
        <v/>
      </c>
      <c r="M87" t="str">
        <f t="shared" si="30"/>
        <v/>
      </c>
      <c r="N87" t="str">
        <f t="shared" si="40"/>
        <v/>
      </c>
      <c r="O87" t="str">
        <f t="shared" si="41"/>
        <v/>
      </c>
      <c r="P87" t="str">
        <f t="shared" si="42"/>
        <v/>
      </c>
      <c r="Q87" t="str">
        <f t="shared" si="43"/>
        <v/>
      </c>
      <c r="R87" t="str">
        <f t="shared" si="44"/>
        <v/>
      </c>
      <c r="U87">
        <f>IF(COUNTIF($A$2:$A87,$A87)=1,$A87,"")</f>
        <v>29</v>
      </c>
      <c r="V87" t="str">
        <f>IFERROR(INDEX($U$2:$U$349,_xlfn.AGGREGATE(15,6,(ROW($U$2:$U$349)-ROW($U$2)+1)/($U$2:$U$349&lt;&gt;""),ROWS(V$2:V87))),"")</f>
        <v/>
      </c>
    </row>
    <row r="88" spans="1:22" x14ac:dyDescent="0.2">
      <c r="A88">
        <v>29</v>
      </c>
      <c r="B88" t="s">
        <v>110</v>
      </c>
      <c r="E88" s="1" t="str">
        <f t="shared" si="34"/>
        <v/>
      </c>
      <c r="F88" t="e">
        <f t="shared" si="31"/>
        <v>#VALUE!</v>
      </c>
      <c r="G88" t="str">
        <f t="shared" si="32"/>
        <v/>
      </c>
      <c r="H88" t="e">
        <f t="shared" si="33"/>
        <v>#N/A</v>
      </c>
      <c r="I88">
        <f t="shared" si="26"/>
        <v>0</v>
      </c>
      <c r="J88" t="str">
        <f t="shared" si="27"/>
        <v/>
      </c>
      <c r="K88" t="str">
        <f t="shared" si="28"/>
        <v/>
      </c>
      <c r="L88" t="str">
        <f t="shared" si="29"/>
        <v/>
      </c>
      <c r="M88" t="str">
        <f t="shared" si="30"/>
        <v/>
      </c>
      <c r="N88" t="str">
        <f t="shared" si="40"/>
        <v/>
      </c>
      <c r="O88" t="str">
        <f t="shared" si="41"/>
        <v/>
      </c>
      <c r="P88" t="str">
        <f t="shared" si="42"/>
        <v/>
      </c>
      <c r="Q88" t="str">
        <f t="shared" si="43"/>
        <v/>
      </c>
      <c r="R88" t="str">
        <f t="shared" si="44"/>
        <v/>
      </c>
      <c r="U88" t="str">
        <f>IF(COUNTIF($A$2:$A88,$A88)=1,$A88,"")</f>
        <v/>
      </c>
      <c r="V88" t="str">
        <f>IFERROR(INDEX($U$2:$U$349,_xlfn.AGGREGATE(15,6,(ROW($U$2:$U$349)-ROW($U$2)+1)/($U$2:$U$349&lt;&gt;""),ROWS(V$2:V88))),"")</f>
        <v/>
      </c>
    </row>
    <row r="89" spans="1:22" x14ac:dyDescent="0.2">
      <c r="A89">
        <v>29</v>
      </c>
      <c r="B89" t="s">
        <v>111</v>
      </c>
      <c r="E89" s="1" t="str">
        <f t="shared" si="34"/>
        <v/>
      </c>
      <c r="F89" t="e">
        <f t="shared" si="31"/>
        <v>#VALUE!</v>
      </c>
      <c r="G89" t="str">
        <f t="shared" si="32"/>
        <v/>
      </c>
      <c r="H89" t="e">
        <f t="shared" si="33"/>
        <v>#N/A</v>
      </c>
      <c r="I89">
        <f t="shared" si="26"/>
        <v>0</v>
      </c>
      <c r="J89" t="str">
        <f t="shared" si="27"/>
        <v/>
      </c>
      <c r="K89" t="str">
        <f t="shared" si="28"/>
        <v/>
      </c>
      <c r="L89" t="str">
        <f t="shared" si="29"/>
        <v/>
      </c>
      <c r="M89" t="str">
        <f t="shared" si="30"/>
        <v/>
      </c>
      <c r="N89" t="str">
        <f t="shared" si="40"/>
        <v/>
      </c>
      <c r="O89" t="str">
        <f t="shared" si="41"/>
        <v/>
      </c>
      <c r="P89" t="str">
        <f t="shared" si="42"/>
        <v/>
      </c>
      <c r="Q89" t="str">
        <f t="shared" si="43"/>
        <v/>
      </c>
      <c r="R89" t="str">
        <f t="shared" si="44"/>
        <v/>
      </c>
      <c r="U89" t="str">
        <f>IF(COUNTIF($A$2:$A89,$A89)=1,$A89,"")</f>
        <v/>
      </c>
      <c r="V89" t="str">
        <f>IFERROR(INDEX($U$2:$U$349,_xlfn.AGGREGATE(15,6,(ROW($U$2:$U$349)-ROW($U$2)+1)/($U$2:$U$349&lt;&gt;""),ROWS(V$2:V89))),"")</f>
        <v/>
      </c>
    </row>
    <row r="90" spans="1:22" x14ac:dyDescent="0.2">
      <c r="A90">
        <v>30</v>
      </c>
      <c r="B90" t="s">
        <v>112</v>
      </c>
      <c r="E90" s="1" t="str">
        <f t="shared" si="34"/>
        <v/>
      </c>
      <c r="F90" t="e">
        <f t="shared" si="31"/>
        <v>#VALUE!</v>
      </c>
      <c r="G90" t="str">
        <f t="shared" si="32"/>
        <v/>
      </c>
      <c r="H90" t="e">
        <f t="shared" si="33"/>
        <v>#N/A</v>
      </c>
      <c r="I90">
        <f t="shared" si="26"/>
        <v>0</v>
      </c>
      <c r="J90" t="str">
        <f t="shared" si="27"/>
        <v/>
      </c>
      <c r="K90" t="str">
        <f t="shared" si="28"/>
        <v/>
      </c>
      <c r="L90" t="str">
        <f t="shared" si="29"/>
        <v/>
      </c>
      <c r="M90" t="str">
        <f t="shared" si="30"/>
        <v/>
      </c>
      <c r="N90" t="str">
        <f t="shared" si="40"/>
        <v/>
      </c>
      <c r="O90" t="str">
        <f t="shared" si="41"/>
        <v/>
      </c>
      <c r="P90" t="str">
        <f t="shared" si="42"/>
        <v/>
      </c>
      <c r="Q90" t="str">
        <f t="shared" si="43"/>
        <v/>
      </c>
      <c r="R90" t="str">
        <f t="shared" si="44"/>
        <v/>
      </c>
      <c r="U90">
        <f>IF(COUNTIF($A$2:$A90,$A90)=1,$A90,"")</f>
        <v>30</v>
      </c>
      <c r="V90" t="str">
        <f>IFERROR(INDEX($U$2:$U$349,_xlfn.AGGREGATE(15,6,(ROW($U$2:$U$349)-ROW($U$2)+1)/($U$2:$U$349&lt;&gt;""),ROWS(V$2:V90))),"")</f>
        <v/>
      </c>
    </row>
    <row r="91" spans="1:22" x14ac:dyDescent="0.2">
      <c r="A91">
        <v>30</v>
      </c>
      <c r="B91" t="s">
        <v>113</v>
      </c>
      <c r="E91" s="1" t="str">
        <f t="shared" si="34"/>
        <v/>
      </c>
      <c r="F91" t="e">
        <f t="shared" si="31"/>
        <v>#VALUE!</v>
      </c>
      <c r="G91" t="str">
        <f t="shared" si="32"/>
        <v/>
      </c>
      <c r="H91" t="e">
        <f t="shared" si="33"/>
        <v>#N/A</v>
      </c>
      <c r="I91">
        <f t="shared" si="26"/>
        <v>0</v>
      </c>
      <c r="J91" t="str">
        <f t="shared" si="27"/>
        <v/>
      </c>
      <c r="K91" t="str">
        <f t="shared" si="28"/>
        <v/>
      </c>
      <c r="L91" t="str">
        <f t="shared" si="29"/>
        <v/>
      </c>
      <c r="M91" t="str">
        <f t="shared" si="30"/>
        <v/>
      </c>
      <c r="N91" t="str">
        <f t="shared" si="40"/>
        <v/>
      </c>
      <c r="O91" t="str">
        <f t="shared" si="41"/>
        <v/>
      </c>
      <c r="P91" t="str">
        <f t="shared" si="42"/>
        <v/>
      </c>
      <c r="Q91" t="str">
        <f t="shared" si="43"/>
        <v/>
      </c>
      <c r="R91" t="str">
        <f t="shared" si="44"/>
        <v/>
      </c>
      <c r="U91" t="str">
        <f>IF(COUNTIF($A$2:$A91,$A91)=1,$A91,"")</f>
        <v/>
      </c>
      <c r="V91" t="str">
        <f>IFERROR(INDEX($U$2:$U$349,_xlfn.AGGREGATE(15,6,(ROW($U$2:$U$349)-ROW($U$2)+1)/($U$2:$U$349&lt;&gt;""),ROWS(V$2:V91))),"")</f>
        <v/>
      </c>
    </row>
    <row r="92" spans="1:22" x14ac:dyDescent="0.2">
      <c r="A92">
        <v>30</v>
      </c>
      <c r="B92" t="s">
        <v>114</v>
      </c>
      <c r="E92" s="1" t="str">
        <f t="shared" si="34"/>
        <v/>
      </c>
      <c r="F92" t="e">
        <f t="shared" si="31"/>
        <v>#VALUE!</v>
      </c>
      <c r="G92" t="str">
        <f t="shared" si="32"/>
        <v/>
      </c>
      <c r="H92" t="e">
        <f t="shared" si="33"/>
        <v>#N/A</v>
      </c>
      <c r="I92">
        <f t="shared" si="26"/>
        <v>0</v>
      </c>
      <c r="J92" t="str">
        <f t="shared" si="27"/>
        <v/>
      </c>
      <c r="K92" t="str">
        <f t="shared" si="28"/>
        <v/>
      </c>
      <c r="L92" t="str">
        <f t="shared" si="29"/>
        <v/>
      </c>
      <c r="M92" t="str">
        <f t="shared" si="30"/>
        <v/>
      </c>
      <c r="N92" t="str">
        <f t="shared" si="40"/>
        <v/>
      </c>
      <c r="O92" t="str">
        <f t="shared" si="41"/>
        <v/>
      </c>
      <c r="P92" t="str">
        <f t="shared" si="42"/>
        <v/>
      </c>
      <c r="Q92" t="str">
        <f t="shared" si="43"/>
        <v/>
      </c>
      <c r="R92" t="str">
        <f t="shared" si="44"/>
        <v/>
      </c>
      <c r="U92" t="str">
        <f>IF(COUNTIF($A$2:$A92,$A92)=1,$A92,"")</f>
        <v/>
      </c>
      <c r="V92" t="str">
        <f>IFERROR(INDEX($U$2:$U$349,_xlfn.AGGREGATE(15,6,(ROW($U$2:$U$349)-ROW($U$2)+1)/($U$2:$U$349&lt;&gt;""),ROWS(V$2:V92))),"")</f>
        <v/>
      </c>
    </row>
    <row r="93" spans="1:22" x14ac:dyDescent="0.2">
      <c r="A93">
        <v>31</v>
      </c>
      <c r="B93" t="s">
        <v>115</v>
      </c>
      <c r="E93" s="1" t="str">
        <f t="shared" si="34"/>
        <v/>
      </c>
      <c r="F93" t="e">
        <f t="shared" si="31"/>
        <v>#VALUE!</v>
      </c>
      <c r="G93" t="str">
        <f t="shared" si="32"/>
        <v/>
      </c>
      <c r="H93" t="e">
        <f t="shared" si="33"/>
        <v>#N/A</v>
      </c>
      <c r="I93">
        <f t="shared" si="26"/>
        <v>0</v>
      </c>
      <c r="J93" t="str">
        <f t="shared" si="27"/>
        <v/>
      </c>
      <c r="K93" t="str">
        <f t="shared" si="28"/>
        <v/>
      </c>
      <c r="L93" t="str">
        <f t="shared" si="29"/>
        <v/>
      </c>
      <c r="M93" t="str">
        <f t="shared" si="30"/>
        <v/>
      </c>
      <c r="N93" t="str">
        <f t="shared" si="40"/>
        <v/>
      </c>
      <c r="O93" t="str">
        <f t="shared" si="41"/>
        <v/>
      </c>
      <c r="P93" t="str">
        <f t="shared" si="42"/>
        <v/>
      </c>
      <c r="Q93" t="str">
        <f t="shared" si="43"/>
        <v/>
      </c>
      <c r="R93" t="str">
        <f t="shared" si="44"/>
        <v/>
      </c>
      <c r="U93">
        <f>IF(COUNTIF($A$2:$A93,$A93)=1,$A93,"")</f>
        <v>31</v>
      </c>
      <c r="V93" t="str">
        <f>IFERROR(INDEX($U$2:$U$349,_xlfn.AGGREGATE(15,6,(ROW($U$2:$U$349)-ROW($U$2)+1)/($U$2:$U$349&lt;&gt;""),ROWS(V$2:V93))),"")</f>
        <v/>
      </c>
    </row>
    <row r="94" spans="1:22" x14ac:dyDescent="0.2">
      <c r="A94">
        <v>31</v>
      </c>
      <c r="B94" t="s">
        <v>116</v>
      </c>
      <c r="E94" s="1" t="str">
        <f t="shared" si="34"/>
        <v/>
      </c>
      <c r="F94" t="e">
        <f t="shared" si="31"/>
        <v>#VALUE!</v>
      </c>
      <c r="G94" t="str">
        <f t="shared" si="32"/>
        <v/>
      </c>
      <c r="H94" t="e">
        <f t="shared" si="33"/>
        <v>#N/A</v>
      </c>
      <c r="I94">
        <f t="shared" si="26"/>
        <v>0</v>
      </c>
      <c r="J94" t="str">
        <f t="shared" si="27"/>
        <v/>
      </c>
      <c r="K94" t="str">
        <f t="shared" si="28"/>
        <v/>
      </c>
      <c r="L94" t="str">
        <f t="shared" si="29"/>
        <v/>
      </c>
      <c r="M94" t="str">
        <f t="shared" si="30"/>
        <v/>
      </c>
      <c r="N94" t="str">
        <f t="shared" si="40"/>
        <v/>
      </c>
      <c r="O94" t="str">
        <f t="shared" si="41"/>
        <v/>
      </c>
      <c r="P94" t="str">
        <f t="shared" si="42"/>
        <v/>
      </c>
      <c r="Q94" t="str">
        <f t="shared" si="43"/>
        <v/>
      </c>
      <c r="R94" t="str">
        <f t="shared" si="44"/>
        <v/>
      </c>
      <c r="U94" t="str">
        <f>IF(COUNTIF($A$2:$A94,$A94)=1,$A94,"")</f>
        <v/>
      </c>
      <c r="V94" t="str">
        <f>IFERROR(INDEX($U$2:$U$349,_xlfn.AGGREGATE(15,6,(ROW($U$2:$U$349)-ROW($U$2)+1)/($U$2:$U$349&lt;&gt;""),ROWS(V$2:V94))),"")</f>
        <v/>
      </c>
    </row>
    <row r="95" spans="1:22" x14ac:dyDescent="0.2">
      <c r="A95">
        <v>31</v>
      </c>
      <c r="B95" t="s">
        <v>117</v>
      </c>
      <c r="E95" s="1" t="str">
        <f t="shared" si="34"/>
        <v/>
      </c>
      <c r="F95" t="e">
        <f t="shared" si="31"/>
        <v>#VALUE!</v>
      </c>
      <c r="G95" t="str">
        <f t="shared" si="32"/>
        <v/>
      </c>
      <c r="H95" t="e">
        <f t="shared" si="33"/>
        <v>#N/A</v>
      </c>
      <c r="I95">
        <f t="shared" si="26"/>
        <v>0</v>
      </c>
      <c r="J95" t="str">
        <f t="shared" si="27"/>
        <v/>
      </c>
      <c r="K95" t="str">
        <f t="shared" si="28"/>
        <v/>
      </c>
      <c r="L95" t="str">
        <f t="shared" si="29"/>
        <v/>
      </c>
      <c r="M95" t="str">
        <f t="shared" si="30"/>
        <v/>
      </c>
      <c r="N95" t="str">
        <f t="shared" si="40"/>
        <v/>
      </c>
      <c r="O95" t="str">
        <f t="shared" si="41"/>
        <v/>
      </c>
      <c r="P95" t="str">
        <f t="shared" si="42"/>
        <v/>
      </c>
      <c r="Q95" t="str">
        <f t="shared" si="43"/>
        <v/>
      </c>
      <c r="R95" t="str">
        <f t="shared" si="44"/>
        <v/>
      </c>
      <c r="U95" t="str">
        <f>IF(COUNTIF($A$2:$A95,$A95)=1,$A95,"")</f>
        <v/>
      </c>
      <c r="V95" t="str">
        <f>IFERROR(INDEX($U$2:$U$349,_xlfn.AGGREGATE(15,6,(ROW($U$2:$U$349)-ROW($U$2)+1)/($U$2:$U$349&lt;&gt;""),ROWS(V$2:V95))),"")</f>
        <v/>
      </c>
    </row>
    <row r="96" spans="1:22" x14ac:dyDescent="0.2">
      <c r="A96">
        <v>32</v>
      </c>
      <c r="B96" t="s">
        <v>118</v>
      </c>
      <c r="E96" s="1" t="str">
        <f t="shared" si="34"/>
        <v/>
      </c>
      <c r="F96" t="e">
        <f t="shared" si="31"/>
        <v>#VALUE!</v>
      </c>
      <c r="G96" t="str">
        <f t="shared" si="32"/>
        <v/>
      </c>
      <c r="H96" t="e">
        <f t="shared" si="33"/>
        <v>#N/A</v>
      </c>
      <c r="I96">
        <f t="shared" si="26"/>
        <v>0</v>
      </c>
      <c r="J96" t="str">
        <f t="shared" si="27"/>
        <v/>
      </c>
      <c r="K96" t="str">
        <f t="shared" si="28"/>
        <v/>
      </c>
      <c r="L96" t="str">
        <f t="shared" si="29"/>
        <v/>
      </c>
      <c r="M96" t="str">
        <f t="shared" si="30"/>
        <v/>
      </c>
      <c r="N96" t="str">
        <f t="shared" si="35"/>
        <v/>
      </c>
      <c r="O96" t="str">
        <f t="shared" si="36"/>
        <v/>
      </c>
      <c r="P96" t="str">
        <f t="shared" si="37"/>
        <v/>
      </c>
      <c r="Q96" t="str">
        <f t="shared" si="38"/>
        <v/>
      </c>
      <c r="R96" t="str">
        <f t="shared" si="39"/>
        <v/>
      </c>
      <c r="U96">
        <f>IF(COUNTIF($A$2:$A96,$A96)=1,$A96,"")</f>
        <v>32</v>
      </c>
      <c r="V96" t="str">
        <f>IFERROR(INDEX($U$2:$U$349,_xlfn.AGGREGATE(15,6,(ROW($U$2:$U$349)-ROW($U$2)+1)/($U$2:$U$349&lt;&gt;""),ROWS(V$2:V96))),"")</f>
        <v/>
      </c>
    </row>
    <row r="97" spans="1:22" x14ac:dyDescent="0.2">
      <c r="A97">
        <v>32</v>
      </c>
      <c r="B97" t="s">
        <v>119</v>
      </c>
      <c r="E97" s="1" t="str">
        <f t="shared" si="34"/>
        <v/>
      </c>
      <c r="F97" t="e">
        <f t="shared" si="31"/>
        <v>#VALUE!</v>
      </c>
      <c r="G97" t="str">
        <f t="shared" si="32"/>
        <v/>
      </c>
      <c r="H97" t="e">
        <f t="shared" si="33"/>
        <v>#N/A</v>
      </c>
      <c r="I97">
        <f t="shared" si="26"/>
        <v>0</v>
      </c>
      <c r="J97" t="str">
        <f t="shared" si="27"/>
        <v/>
      </c>
      <c r="K97" t="str">
        <f t="shared" si="28"/>
        <v/>
      </c>
      <c r="L97" t="str">
        <f t="shared" si="29"/>
        <v/>
      </c>
      <c r="M97" t="str">
        <f t="shared" si="30"/>
        <v/>
      </c>
      <c r="N97" t="str">
        <f t="shared" si="35"/>
        <v/>
      </c>
      <c r="O97" t="str">
        <f t="shared" si="36"/>
        <v/>
      </c>
      <c r="P97" t="str">
        <f t="shared" si="37"/>
        <v/>
      </c>
      <c r="Q97" t="str">
        <f t="shared" si="38"/>
        <v/>
      </c>
      <c r="R97" t="str">
        <f t="shared" si="39"/>
        <v/>
      </c>
      <c r="U97" t="str">
        <f>IF(COUNTIF($A$2:$A97,$A97)=1,$A97,"")</f>
        <v/>
      </c>
      <c r="V97" t="str">
        <f>IFERROR(INDEX($U$2:$U$349,_xlfn.AGGREGATE(15,6,(ROW($U$2:$U$349)-ROW($U$2)+1)/($U$2:$U$349&lt;&gt;""),ROWS(V$2:V97))),"")</f>
        <v/>
      </c>
    </row>
    <row r="98" spans="1:22" x14ac:dyDescent="0.2">
      <c r="A98">
        <v>32</v>
      </c>
      <c r="B98" t="s">
        <v>120</v>
      </c>
      <c r="E98" s="1" t="str">
        <f t="shared" si="34"/>
        <v/>
      </c>
      <c r="F98" t="e">
        <f t="shared" si="31"/>
        <v>#VALUE!</v>
      </c>
      <c r="G98" t="str">
        <f t="shared" si="32"/>
        <v/>
      </c>
      <c r="H98" t="e">
        <f t="shared" si="33"/>
        <v>#N/A</v>
      </c>
      <c r="I98">
        <f t="shared" si="26"/>
        <v>0</v>
      </c>
      <c r="J98" t="str">
        <f t="shared" si="27"/>
        <v/>
      </c>
      <c r="K98" t="str">
        <f t="shared" si="28"/>
        <v/>
      </c>
      <c r="L98" t="str">
        <f t="shared" si="29"/>
        <v/>
      </c>
      <c r="M98" t="str">
        <f t="shared" si="30"/>
        <v/>
      </c>
      <c r="N98" t="str">
        <f t="shared" si="35"/>
        <v/>
      </c>
      <c r="O98" t="str">
        <f t="shared" si="36"/>
        <v/>
      </c>
      <c r="P98" t="str">
        <f t="shared" si="37"/>
        <v/>
      </c>
      <c r="Q98" t="str">
        <f t="shared" si="38"/>
        <v/>
      </c>
      <c r="R98" t="str">
        <f t="shared" si="39"/>
        <v/>
      </c>
      <c r="U98" t="str">
        <f>IF(COUNTIF($A$2:$A98,$A98)=1,$A98,"")</f>
        <v/>
      </c>
      <c r="V98" t="str">
        <f>IFERROR(INDEX($U$2:$U$349,_xlfn.AGGREGATE(15,6,(ROW($U$2:$U$349)-ROW($U$2)+1)/($U$2:$U$349&lt;&gt;""),ROWS(V$2:V98))),"")</f>
        <v/>
      </c>
    </row>
    <row r="99" spans="1:22" x14ac:dyDescent="0.2">
      <c r="A99">
        <v>33</v>
      </c>
      <c r="B99" t="s">
        <v>121</v>
      </c>
      <c r="E99" s="1" t="str">
        <f t="shared" si="34"/>
        <v/>
      </c>
      <c r="F99" t="e">
        <f t="shared" si="31"/>
        <v>#VALUE!</v>
      </c>
      <c r="G99" t="str">
        <f t="shared" si="32"/>
        <v/>
      </c>
      <c r="H99" t="e">
        <f t="shared" si="33"/>
        <v>#N/A</v>
      </c>
      <c r="I99">
        <f t="shared" si="26"/>
        <v>0</v>
      </c>
      <c r="J99" t="str">
        <f t="shared" si="27"/>
        <v/>
      </c>
      <c r="K99" t="str">
        <f t="shared" si="28"/>
        <v/>
      </c>
      <c r="L99" t="str">
        <f t="shared" si="29"/>
        <v/>
      </c>
      <c r="M99" t="str">
        <f t="shared" si="30"/>
        <v/>
      </c>
      <c r="N99" t="str">
        <f t="shared" si="35"/>
        <v/>
      </c>
      <c r="O99" t="str">
        <f t="shared" si="36"/>
        <v/>
      </c>
      <c r="P99" t="str">
        <f t="shared" si="37"/>
        <v/>
      </c>
      <c r="Q99" t="str">
        <f t="shared" si="38"/>
        <v/>
      </c>
      <c r="R99" t="str">
        <f t="shared" si="39"/>
        <v/>
      </c>
      <c r="U99">
        <f>IF(COUNTIF($A$2:$A99,$A99)=1,$A99,"")</f>
        <v>33</v>
      </c>
      <c r="V99" t="str">
        <f>IFERROR(INDEX($U$2:$U$349,_xlfn.AGGREGATE(15,6,(ROW($U$2:$U$349)-ROW($U$2)+1)/($U$2:$U$349&lt;&gt;""),ROWS(V$2:V99))),"")</f>
        <v/>
      </c>
    </row>
    <row r="100" spans="1:22" x14ac:dyDescent="0.2">
      <c r="A100">
        <v>33</v>
      </c>
      <c r="B100" t="s">
        <v>122</v>
      </c>
      <c r="E100" s="1" t="str">
        <f t="shared" si="34"/>
        <v/>
      </c>
      <c r="F100" t="e">
        <f t="shared" si="31"/>
        <v>#VALUE!</v>
      </c>
      <c r="G100" t="str">
        <f t="shared" si="32"/>
        <v/>
      </c>
      <c r="H100" t="e">
        <f t="shared" si="33"/>
        <v>#N/A</v>
      </c>
      <c r="I100">
        <f t="shared" si="26"/>
        <v>0</v>
      </c>
      <c r="J100" t="str">
        <f t="shared" si="27"/>
        <v/>
      </c>
      <c r="K100" t="str">
        <f t="shared" si="28"/>
        <v/>
      </c>
      <c r="L100" t="str">
        <f t="shared" si="29"/>
        <v/>
      </c>
      <c r="M100" t="str">
        <f t="shared" si="30"/>
        <v/>
      </c>
      <c r="N100" t="str">
        <f t="shared" si="35"/>
        <v/>
      </c>
      <c r="O100" t="str">
        <f t="shared" si="36"/>
        <v/>
      </c>
      <c r="P100" t="str">
        <f t="shared" si="37"/>
        <v/>
      </c>
      <c r="Q100" t="str">
        <f t="shared" si="38"/>
        <v/>
      </c>
      <c r="R100" t="str">
        <f t="shared" si="39"/>
        <v/>
      </c>
      <c r="U100" t="str">
        <f>IF(COUNTIF($A$2:$A100,$A100)=1,$A100,"")</f>
        <v/>
      </c>
      <c r="V100" t="str">
        <f>IFERROR(INDEX($U$2:$U$349,_xlfn.AGGREGATE(15,6,(ROW($U$2:$U$349)-ROW($U$2)+1)/($U$2:$U$349&lt;&gt;""),ROWS(V$2:V100))),"")</f>
        <v/>
      </c>
    </row>
    <row r="101" spans="1:22" x14ac:dyDescent="0.2">
      <c r="A101">
        <v>33</v>
      </c>
      <c r="B101" t="s">
        <v>123</v>
      </c>
      <c r="I101">
        <f t="shared" si="26"/>
        <v>0</v>
      </c>
      <c r="J101" t="str">
        <f t="shared" si="27"/>
        <v/>
      </c>
      <c r="K101" t="str">
        <f t="shared" si="28"/>
        <v/>
      </c>
      <c r="L101" t="str">
        <f t="shared" si="29"/>
        <v/>
      </c>
      <c r="M101" t="str">
        <f t="shared" si="30"/>
        <v/>
      </c>
      <c r="N101" t="str">
        <f t="shared" si="35"/>
        <v/>
      </c>
      <c r="O101" t="str">
        <f t="shared" si="36"/>
        <v/>
      </c>
      <c r="P101" t="str">
        <f t="shared" si="37"/>
        <v/>
      </c>
      <c r="Q101" t="str">
        <f t="shared" si="38"/>
        <v/>
      </c>
      <c r="R101" t="str">
        <f t="shared" si="39"/>
        <v/>
      </c>
      <c r="U101" t="str">
        <f>IF(COUNTIF($A$2:$A101,$A101)=1,$A101,"")</f>
        <v/>
      </c>
      <c r="V101" t="str">
        <f>IFERROR(INDEX($U$2:$U$349,_xlfn.AGGREGATE(15,6,(ROW($U$2:$U$349)-ROW($U$2)+1)/($U$2:$U$349&lt;&gt;""),ROWS(V$2:V101))),"")</f>
        <v/>
      </c>
    </row>
    <row r="102" spans="1:22" x14ac:dyDescent="0.2">
      <c r="A102">
        <v>34</v>
      </c>
      <c r="B102" t="s">
        <v>124</v>
      </c>
      <c r="I102">
        <f t="shared" si="26"/>
        <v>0</v>
      </c>
      <c r="J102" t="str">
        <f t="shared" si="27"/>
        <v/>
      </c>
      <c r="K102" t="str">
        <f t="shared" si="28"/>
        <v/>
      </c>
      <c r="L102" t="str">
        <f t="shared" si="29"/>
        <v/>
      </c>
      <c r="M102" t="str">
        <f t="shared" si="30"/>
        <v/>
      </c>
      <c r="N102" t="str">
        <f t="shared" si="35"/>
        <v/>
      </c>
      <c r="O102" t="str">
        <f t="shared" si="36"/>
        <v/>
      </c>
      <c r="P102" t="str">
        <f t="shared" si="37"/>
        <v/>
      </c>
      <c r="Q102" t="str">
        <f t="shared" si="38"/>
        <v/>
      </c>
      <c r="R102" t="str">
        <f t="shared" si="39"/>
        <v/>
      </c>
      <c r="U102">
        <f>IF(COUNTIF($A$2:$A102,$A102)=1,$A102,"")</f>
        <v>34</v>
      </c>
      <c r="V102" t="str">
        <f>IFERROR(INDEX($U$2:$U$349,_xlfn.AGGREGATE(15,6,(ROW($U$2:$U$349)-ROW($U$2)+1)/($U$2:$U$349&lt;&gt;""),ROWS(V$2:V102))),"")</f>
        <v/>
      </c>
    </row>
    <row r="103" spans="1:22" x14ac:dyDescent="0.2">
      <c r="A103">
        <v>34</v>
      </c>
      <c r="B103" t="s">
        <v>125</v>
      </c>
      <c r="I103">
        <f t="shared" si="26"/>
        <v>0</v>
      </c>
      <c r="J103" t="str">
        <f t="shared" si="27"/>
        <v/>
      </c>
      <c r="K103" t="str">
        <f t="shared" si="28"/>
        <v/>
      </c>
      <c r="L103" t="str">
        <f t="shared" si="29"/>
        <v/>
      </c>
      <c r="M103" t="str">
        <f t="shared" si="30"/>
        <v/>
      </c>
      <c r="N103" t="str">
        <f t="shared" si="35"/>
        <v/>
      </c>
      <c r="O103" t="str">
        <f t="shared" si="36"/>
        <v/>
      </c>
      <c r="P103" t="str">
        <f t="shared" si="37"/>
        <v/>
      </c>
      <c r="Q103" t="str">
        <f t="shared" si="38"/>
        <v/>
      </c>
      <c r="R103" t="str">
        <f t="shared" si="39"/>
        <v/>
      </c>
      <c r="U103" t="str">
        <f>IF(COUNTIF($A$2:$A103,$A103)=1,$A103,"")</f>
        <v/>
      </c>
      <c r="V103" t="str">
        <f>IFERROR(INDEX($U$2:$U$349,_xlfn.AGGREGATE(15,6,(ROW($U$2:$U$349)-ROW($U$2)+1)/($U$2:$U$349&lt;&gt;""),ROWS(V$2:V103))),"")</f>
        <v/>
      </c>
    </row>
    <row r="104" spans="1:22" x14ac:dyDescent="0.2">
      <c r="A104">
        <v>34</v>
      </c>
      <c r="B104" t="s">
        <v>126</v>
      </c>
      <c r="I104">
        <f t="shared" si="26"/>
        <v>0</v>
      </c>
      <c r="J104" t="str">
        <f t="shared" si="27"/>
        <v/>
      </c>
      <c r="K104" t="str">
        <f t="shared" si="28"/>
        <v/>
      </c>
      <c r="L104" t="str">
        <f t="shared" si="29"/>
        <v/>
      </c>
      <c r="M104" t="str">
        <f t="shared" si="30"/>
        <v/>
      </c>
      <c r="N104" t="str">
        <f t="shared" si="35"/>
        <v/>
      </c>
      <c r="O104" t="str">
        <f t="shared" si="36"/>
        <v/>
      </c>
      <c r="P104" t="str">
        <f t="shared" si="37"/>
        <v/>
      </c>
      <c r="Q104" t="str">
        <f t="shared" si="38"/>
        <v/>
      </c>
      <c r="R104" t="str">
        <f t="shared" si="39"/>
        <v/>
      </c>
      <c r="U104" t="str">
        <f>IF(COUNTIF($A$2:$A104,$A104)=1,$A104,"")</f>
        <v/>
      </c>
      <c r="V104" t="str">
        <f>IFERROR(INDEX($U$2:$U$349,_xlfn.AGGREGATE(15,6,(ROW($U$2:$U$349)-ROW($U$2)+1)/($U$2:$U$349&lt;&gt;""),ROWS(V$2:V104))),"")</f>
        <v/>
      </c>
    </row>
    <row r="105" spans="1:22" x14ac:dyDescent="0.2">
      <c r="A105">
        <v>35</v>
      </c>
      <c r="B105" t="s">
        <v>127</v>
      </c>
      <c r="I105">
        <f t="shared" si="26"/>
        <v>0</v>
      </c>
      <c r="J105" t="str">
        <f t="shared" si="27"/>
        <v/>
      </c>
      <c r="K105" t="str">
        <f t="shared" si="28"/>
        <v/>
      </c>
      <c r="L105" t="str">
        <f t="shared" si="29"/>
        <v/>
      </c>
      <c r="M105" t="str">
        <f t="shared" si="30"/>
        <v/>
      </c>
      <c r="N105" t="str">
        <f t="shared" si="35"/>
        <v/>
      </c>
      <c r="O105" t="str">
        <f t="shared" si="36"/>
        <v/>
      </c>
      <c r="P105" t="str">
        <f t="shared" si="37"/>
        <v/>
      </c>
      <c r="Q105" t="str">
        <f t="shared" si="38"/>
        <v/>
      </c>
      <c r="R105" t="str">
        <f t="shared" si="39"/>
        <v/>
      </c>
      <c r="U105">
        <f>IF(COUNTIF($A$2:$A105,$A105)=1,$A105,"")</f>
        <v>35</v>
      </c>
      <c r="V105" t="str">
        <f>IFERROR(INDEX($U$2:$U$349,_xlfn.AGGREGATE(15,6,(ROW($U$2:$U$349)-ROW($U$2)+1)/($U$2:$U$349&lt;&gt;""),ROWS(V$2:V105))),"")</f>
        <v/>
      </c>
    </row>
    <row r="106" spans="1:22" x14ac:dyDescent="0.2">
      <c r="A106">
        <v>35</v>
      </c>
      <c r="B106" t="s">
        <v>128</v>
      </c>
      <c r="I106">
        <f t="shared" si="26"/>
        <v>0</v>
      </c>
      <c r="J106" t="str">
        <f t="shared" si="27"/>
        <v/>
      </c>
      <c r="K106" t="str">
        <f t="shared" si="28"/>
        <v/>
      </c>
      <c r="L106" t="str">
        <f t="shared" si="29"/>
        <v/>
      </c>
      <c r="M106" t="str">
        <f t="shared" si="30"/>
        <v/>
      </c>
      <c r="N106" t="str">
        <f t="shared" si="35"/>
        <v/>
      </c>
      <c r="O106" t="str">
        <f t="shared" si="36"/>
        <v/>
      </c>
      <c r="P106" t="str">
        <f t="shared" si="37"/>
        <v/>
      </c>
      <c r="Q106" t="str">
        <f t="shared" si="38"/>
        <v/>
      </c>
      <c r="R106" t="str">
        <f t="shared" si="39"/>
        <v/>
      </c>
      <c r="U106" t="str">
        <f>IF(COUNTIF($A$2:$A106,$A106)=1,$A106,"")</f>
        <v/>
      </c>
      <c r="V106" t="str">
        <f>IFERROR(INDEX($U$2:$U$349,_xlfn.AGGREGATE(15,6,(ROW($U$2:$U$349)-ROW($U$2)+1)/($U$2:$U$349&lt;&gt;""),ROWS(V$2:V106))),"")</f>
        <v/>
      </c>
    </row>
    <row r="107" spans="1:22" x14ac:dyDescent="0.2">
      <c r="A107">
        <v>35</v>
      </c>
      <c r="B107" t="s">
        <v>129</v>
      </c>
      <c r="I107">
        <f t="shared" si="26"/>
        <v>0</v>
      </c>
      <c r="J107" t="str">
        <f t="shared" si="27"/>
        <v/>
      </c>
      <c r="K107" t="str">
        <f t="shared" si="28"/>
        <v/>
      </c>
      <c r="L107" t="str">
        <f t="shared" si="29"/>
        <v/>
      </c>
      <c r="M107" t="str">
        <f t="shared" si="30"/>
        <v/>
      </c>
      <c r="N107" t="str">
        <f t="shared" si="35"/>
        <v/>
      </c>
      <c r="O107" t="str">
        <f t="shared" si="36"/>
        <v/>
      </c>
      <c r="P107" t="str">
        <f t="shared" si="37"/>
        <v/>
      </c>
      <c r="Q107" t="str">
        <f t="shared" si="38"/>
        <v/>
      </c>
      <c r="R107" t="str">
        <f t="shared" si="39"/>
        <v/>
      </c>
      <c r="U107" t="str">
        <f>IF(COUNTIF($A$2:$A107,$A107)=1,$A107,"")</f>
        <v/>
      </c>
      <c r="V107" t="str">
        <f>IFERROR(INDEX($U$2:$U$349,_xlfn.AGGREGATE(15,6,(ROW($U$2:$U$349)-ROW($U$2)+1)/($U$2:$U$349&lt;&gt;""),ROWS(V$2:V107))),"")</f>
        <v/>
      </c>
    </row>
    <row r="108" spans="1:22" x14ac:dyDescent="0.2">
      <c r="A108">
        <v>36</v>
      </c>
      <c r="B108" t="s">
        <v>130</v>
      </c>
      <c r="I108">
        <f t="shared" si="26"/>
        <v>0</v>
      </c>
      <c r="J108" t="str">
        <f t="shared" si="27"/>
        <v/>
      </c>
      <c r="K108" t="str">
        <f t="shared" si="28"/>
        <v/>
      </c>
      <c r="L108" t="str">
        <f t="shared" si="29"/>
        <v/>
      </c>
      <c r="M108" t="str">
        <f t="shared" si="30"/>
        <v/>
      </c>
      <c r="N108" t="str">
        <f t="shared" si="35"/>
        <v/>
      </c>
      <c r="O108" t="str">
        <f t="shared" si="36"/>
        <v/>
      </c>
      <c r="P108" t="str">
        <f t="shared" si="37"/>
        <v/>
      </c>
      <c r="Q108" t="str">
        <f t="shared" si="38"/>
        <v/>
      </c>
      <c r="R108" t="str">
        <f t="shared" si="39"/>
        <v/>
      </c>
      <c r="U108">
        <f>IF(COUNTIF($A$2:$A108,$A108)=1,$A108,"")</f>
        <v>36</v>
      </c>
      <c r="V108" t="str">
        <f>IFERROR(INDEX($U$2:$U$349,_xlfn.AGGREGATE(15,6,(ROW($U$2:$U$349)-ROW($U$2)+1)/($U$2:$U$349&lt;&gt;""),ROWS(V$2:V108))),"")</f>
        <v/>
      </c>
    </row>
    <row r="109" spans="1:22" x14ac:dyDescent="0.2">
      <c r="A109">
        <v>36</v>
      </c>
      <c r="B109" t="s">
        <v>131</v>
      </c>
      <c r="I109">
        <f t="shared" si="26"/>
        <v>0</v>
      </c>
      <c r="J109" t="str">
        <f t="shared" si="27"/>
        <v/>
      </c>
      <c r="K109" t="str">
        <f t="shared" si="28"/>
        <v/>
      </c>
      <c r="L109" t="str">
        <f t="shared" si="29"/>
        <v/>
      </c>
      <c r="M109" t="str">
        <f t="shared" si="30"/>
        <v/>
      </c>
      <c r="N109" t="str">
        <f t="shared" si="35"/>
        <v/>
      </c>
      <c r="O109" t="str">
        <f t="shared" si="36"/>
        <v/>
      </c>
      <c r="P109" t="str">
        <f t="shared" si="37"/>
        <v/>
      </c>
      <c r="Q109" t="str">
        <f t="shared" si="38"/>
        <v/>
      </c>
      <c r="R109" t="str">
        <f t="shared" si="39"/>
        <v/>
      </c>
      <c r="U109" t="str">
        <f>IF(COUNTIF($A$2:$A109,$A109)=1,$A109,"")</f>
        <v/>
      </c>
      <c r="V109" t="str">
        <f>IFERROR(INDEX($U$2:$U$349,_xlfn.AGGREGATE(15,6,(ROW($U$2:$U$349)-ROW($U$2)+1)/($U$2:$U$349&lt;&gt;""),ROWS(V$2:V109))),"")</f>
        <v/>
      </c>
    </row>
    <row r="110" spans="1:22" x14ac:dyDescent="0.2">
      <c r="A110">
        <v>36</v>
      </c>
      <c r="B110" t="s">
        <v>132</v>
      </c>
      <c r="I110">
        <f t="shared" si="26"/>
        <v>0</v>
      </c>
      <c r="J110" t="str">
        <f t="shared" si="27"/>
        <v/>
      </c>
      <c r="K110" t="str">
        <f t="shared" si="28"/>
        <v/>
      </c>
      <c r="L110" t="str">
        <f t="shared" si="29"/>
        <v/>
      </c>
      <c r="M110" t="str">
        <f t="shared" si="30"/>
        <v/>
      </c>
      <c r="N110" t="str">
        <f t="shared" si="35"/>
        <v/>
      </c>
      <c r="O110" t="str">
        <f t="shared" si="36"/>
        <v/>
      </c>
      <c r="P110" t="str">
        <f t="shared" si="37"/>
        <v/>
      </c>
      <c r="Q110" t="str">
        <f t="shared" si="38"/>
        <v/>
      </c>
      <c r="R110" t="str">
        <f t="shared" si="39"/>
        <v/>
      </c>
      <c r="U110" t="str">
        <f>IF(COUNTIF($A$2:$A110,$A110)=1,$A110,"")</f>
        <v/>
      </c>
      <c r="V110" t="str">
        <f>IFERROR(INDEX($U$2:$U$349,_xlfn.AGGREGATE(15,6,(ROW($U$2:$U$349)-ROW($U$2)+1)/($U$2:$U$349&lt;&gt;""),ROWS(V$2:V110))),"")</f>
        <v/>
      </c>
    </row>
    <row r="111" spans="1:22" x14ac:dyDescent="0.2">
      <c r="A111">
        <v>37</v>
      </c>
      <c r="B111" t="s">
        <v>133</v>
      </c>
      <c r="I111">
        <f t="shared" si="26"/>
        <v>0</v>
      </c>
      <c r="J111" t="str">
        <f t="shared" si="27"/>
        <v/>
      </c>
      <c r="K111" t="str">
        <f t="shared" si="28"/>
        <v/>
      </c>
      <c r="L111" t="str">
        <f t="shared" si="29"/>
        <v/>
      </c>
      <c r="M111" t="str">
        <f t="shared" si="30"/>
        <v/>
      </c>
      <c r="N111" t="str">
        <f t="shared" si="35"/>
        <v/>
      </c>
      <c r="O111" t="str">
        <f t="shared" si="36"/>
        <v/>
      </c>
      <c r="P111" t="str">
        <f t="shared" si="37"/>
        <v/>
      </c>
      <c r="Q111" t="str">
        <f t="shared" si="38"/>
        <v/>
      </c>
      <c r="R111" t="str">
        <f t="shared" si="39"/>
        <v/>
      </c>
      <c r="U111">
        <f>IF(COUNTIF($A$2:$A111,$A111)=1,$A111,"")</f>
        <v>37</v>
      </c>
      <c r="V111" t="str">
        <f>IFERROR(INDEX($U$2:$U$349,_xlfn.AGGREGATE(15,6,(ROW($U$2:$U$349)-ROW($U$2)+1)/($U$2:$U$349&lt;&gt;""),ROWS(V$2:V111))),"")</f>
        <v/>
      </c>
    </row>
    <row r="112" spans="1:22" x14ac:dyDescent="0.2">
      <c r="A112">
        <v>37</v>
      </c>
      <c r="B112" t="s">
        <v>134</v>
      </c>
      <c r="I112">
        <f t="shared" si="26"/>
        <v>0</v>
      </c>
      <c r="J112" t="str">
        <f t="shared" si="27"/>
        <v/>
      </c>
      <c r="K112" t="str">
        <f t="shared" si="28"/>
        <v/>
      </c>
      <c r="L112" t="str">
        <f t="shared" si="29"/>
        <v/>
      </c>
      <c r="M112" t="str">
        <f t="shared" si="30"/>
        <v/>
      </c>
      <c r="N112" t="str">
        <f t="shared" si="35"/>
        <v/>
      </c>
      <c r="O112" t="str">
        <f t="shared" si="36"/>
        <v/>
      </c>
      <c r="P112" t="str">
        <f t="shared" si="37"/>
        <v/>
      </c>
      <c r="Q112" t="str">
        <f t="shared" si="38"/>
        <v/>
      </c>
      <c r="R112" t="str">
        <f t="shared" si="39"/>
        <v/>
      </c>
      <c r="U112" t="str">
        <f>IF(COUNTIF($A$2:$A112,$A112)=1,$A112,"")</f>
        <v/>
      </c>
      <c r="V112" t="str">
        <f>IFERROR(INDEX($U$2:$U$349,_xlfn.AGGREGATE(15,6,(ROW($U$2:$U$349)-ROW($U$2)+1)/($U$2:$U$349&lt;&gt;""),ROWS(V$2:V112))),"")</f>
        <v/>
      </c>
    </row>
    <row r="113" spans="1:22" x14ac:dyDescent="0.2">
      <c r="A113">
        <v>37</v>
      </c>
      <c r="B113" t="s">
        <v>135</v>
      </c>
      <c r="I113">
        <f t="shared" si="26"/>
        <v>0</v>
      </c>
      <c r="J113" t="str">
        <f t="shared" si="27"/>
        <v/>
      </c>
      <c r="K113" t="str">
        <f t="shared" si="28"/>
        <v/>
      </c>
      <c r="L113" t="str">
        <f t="shared" si="29"/>
        <v/>
      </c>
      <c r="M113" t="str">
        <f t="shared" si="30"/>
        <v/>
      </c>
      <c r="N113" t="str">
        <f t="shared" si="35"/>
        <v/>
      </c>
      <c r="O113" t="str">
        <f t="shared" si="36"/>
        <v/>
      </c>
      <c r="P113" t="str">
        <f t="shared" si="37"/>
        <v/>
      </c>
      <c r="Q113" t="str">
        <f t="shared" si="38"/>
        <v/>
      </c>
      <c r="R113" t="str">
        <f t="shared" si="39"/>
        <v/>
      </c>
      <c r="U113" t="str">
        <f>IF(COUNTIF($A$2:$A113,$A113)=1,$A113,"")</f>
        <v/>
      </c>
      <c r="V113" t="str">
        <f>IFERROR(INDEX($U$2:$U$349,_xlfn.AGGREGATE(15,6,(ROW($U$2:$U$349)-ROW($U$2)+1)/($U$2:$U$349&lt;&gt;""),ROWS(V$2:V113))),"")</f>
        <v/>
      </c>
    </row>
    <row r="114" spans="1:22" x14ac:dyDescent="0.2">
      <c r="A114">
        <v>38</v>
      </c>
      <c r="B114" t="s">
        <v>136</v>
      </c>
      <c r="I114">
        <f t="shared" si="26"/>
        <v>0</v>
      </c>
      <c r="J114" t="str">
        <f t="shared" si="27"/>
        <v/>
      </c>
      <c r="K114" t="str">
        <f t="shared" si="28"/>
        <v/>
      </c>
      <c r="L114" t="str">
        <f t="shared" si="29"/>
        <v/>
      </c>
      <c r="M114" t="str">
        <f t="shared" si="30"/>
        <v/>
      </c>
      <c r="N114" t="str">
        <f t="shared" si="35"/>
        <v/>
      </c>
      <c r="O114" t="str">
        <f t="shared" si="36"/>
        <v/>
      </c>
      <c r="P114" t="str">
        <f t="shared" si="37"/>
        <v/>
      </c>
      <c r="Q114" t="str">
        <f t="shared" si="38"/>
        <v/>
      </c>
      <c r="R114" t="str">
        <f t="shared" si="39"/>
        <v/>
      </c>
      <c r="U114">
        <f>IF(COUNTIF($A$2:$A114,$A114)=1,$A114,"")</f>
        <v>38</v>
      </c>
      <c r="V114" t="str">
        <f>IFERROR(INDEX($U$2:$U$349,_xlfn.AGGREGATE(15,6,(ROW($U$2:$U$349)-ROW($U$2)+1)/($U$2:$U$349&lt;&gt;""),ROWS(V$2:V114))),"")</f>
        <v/>
      </c>
    </row>
    <row r="115" spans="1:22" x14ac:dyDescent="0.2">
      <c r="A115">
        <v>38</v>
      </c>
      <c r="B115" t="s">
        <v>137</v>
      </c>
      <c r="I115">
        <f t="shared" si="26"/>
        <v>0</v>
      </c>
      <c r="J115" t="str">
        <f t="shared" si="27"/>
        <v/>
      </c>
      <c r="K115" t="str">
        <f t="shared" si="28"/>
        <v/>
      </c>
      <c r="L115" t="str">
        <f t="shared" si="29"/>
        <v/>
      </c>
      <c r="M115" t="str">
        <f t="shared" si="30"/>
        <v/>
      </c>
      <c r="N115" t="str">
        <f t="shared" si="35"/>
        <v/>
      </c>
      <c r="O115" t="str">
        <f t="shared" si="36"/>
        <v/>
      </c>
      <c r="P115" t="str">
        <f t="shared" si="37"/>
        <v/>
      </c>
      <c r="Q115" t="str">
        <f t="shared" si="38"/>
        <v/>
      </c>
      <c r="R115" t="str">
        <f t="shared" si="39"/>
        <v/>
      </c>
      <c r="U115" t="str">
        <f>IF(COUNTIF($A$2:$A115,$A115)=1,$A115,"")</f>
        <v/>
      </c>
      <c r="V115" t="str">
        <f>IFERROR(INDEX($U$2:$U$349,_xlfn.AGGREGATE(15,6,(ROW($U$2:$U$349)-ROW($U$2)+1)/($U$2:$U$349&lt;&gt;""),ROWS(V$2:V115))),"")</f>
        <v/>
      </c>
    </row>
    <row r="116" spans="1:22" x14ac:dyDescent="0.2">
      <c r="A116">
        <v>38</v>
      </c>
      <c r="B116" t="s">
        <v>138</v>
      </c>
      <c r="I116">
        <f t="shared" si="26"/>
        <v>0</v>
      </c>
      <c r="J116" t="str">
        <f t="shared" si="27"/>
        <v/>
      </c>
      <c r="K116" t="str">
        <f t="shared" si="28"/>
        <v/>
      </c>
      <c r="L116" t="str">
        <f t="shared" si="29"/>
        <v/>
      </c>
      <c r="M116" t="str">
        <f t="shared" si="30"/>
        <v/>
      </c>
      <c r="N116" t="str">
        <f t="shared" si="35"/>
        <v/>
      </c>
      <c r="O116" t="str">
        <f t="shared" si="36"/>
        <v/>
      </c>
      <c r="P116" t="str">
        <f t="shared" si="37"/>
        <v/>
      </c>
      <c r="Q116" t="str">
        <f t="shared" si="38"/>
        <v/>
      </c>
      <c r="R116" t="str">
        <f t="shared" si="39"/>
        <v/>
      </c>
      <c r="U116" t="str">
        <f>IF(COUNTIF($A$2:$A116,$A116)=1,$A116,"")</f>
        <v/>
      </c>
      <c r="V116" t="str">
        <f>IFERROR(INDEX($U$2:$U$349,_xlfn.AGGREGATE(15,6,(ROW($U$2:$U$349)-ROW($U$2)+1)/($U$2:$U$349&lt;&gt;""),ROWS(V$2:V116))),"")</f>
        <v/>
      </c>
    </row>
    <row r="117" spans="1:22" x14ac:dyDescent="0.2">
      <c r="A117">
        <v>39</v>
      </c>
      <c r="B117" t="s">
        <v>139</v>
      </c>
      <c r="I117">
        <f t="shared" si="26"/>
        <v>0</v>
      </c>
      <c r="J117" t="str">
        <f t="shared" si="27"/>
        <v/>
      </c>
      <c r="K117" t="str">
        <f t="shared" si="28"/>
        <v/>
      </c>
      <c r="L117" t="str">
        <f t="shared" si="29"/>
        <v/>
      </c>
      <c r="M117" t="str">
        <f t="shared" si="30"/>
        <v/>
      </c>
      <c r="N117" t="str">
        <f t="shared" si="35"/>
        <v/>
      </c>
      <c r="O117" t="str">
        <f t="shared" si="36"/>
        <v/>
      </c>
      <c r="P117" t="str">
        <f t="shared" si="37"/>
        <v/>
      </c>
      <c r="Q117" t="str">
        <f t="shared" si="38"/>
        <v/>
      </c>
      <c r="R117" t="str">
        <f t="shared" si="39"/>
        <v/>
      </c>
      <c r="U117">
        <f>IF(COUNTIF($A$2:$A117,$A117)=1,$A117,"")</f>
        <v>39</v>
      </c>
      <c r="V117" t="str">
        <f>IFERROR(INDEX($U$2:$U$349,_xlfn.AGGREGATE(15,6,(ROW($U$2:$U$349)-ROW($U$2)+1)/($U$2:$U$349&lt;&gt;""),ROWS(V$2:V117))),"")</f>
        <v/>
      </c>
    </row>
    <row r="118" spans="1:22" x14ac:dyDescent="0.2">
      <c r="A118">
        <v>39</v>
      </c>
      <c r="B118" t="s">
        <v>140</v>
      </c>
      <c r="I118">
        <f t="shared" si="26"/>
        <v>0</v>
      </c>
      <c r="J118" t="str">
        <f t="shared" si="27"/>
        <v/>
      </c>
      <c r="K118" t="str">
        <f t="shared" si="28"/>
        <v/>
      </c>
      <c r="L118" t="str">
        <f t="shared" si="29"/>
        <v/>
      </c>
      <c r="M118" t="str">
        <f t="shared" si="30"/>
        <v/>
      </c>
      <c r="N118" t="str">
        <f t="shared" si="35"/>
        <v/>
      </c>
      <c r="O118" t="str">
        <f t="shared" si="36"/>
        <v/>
      </c>
      <c r="P118" t="str">
        <f t="shared" si="37"/>
        <v/>
      </c>
      <c r="Q118" t="str">
        <f t="shared" si="38"/>
        <v/>
      </c>
      <c r="R118" t="str">
        <f t="shared" si="39"/>
        <v/>
      </c>
      <c r="U118" t="str">
        <f>IF(COUNTIF($A$2:$A118,$A118)=1,$A118,"")</f>
        <v/>
      </c>
      <c r="V118" t="str">
        <f>IFERROR(INDEX($U$2:$U$349,_xlfn.AGGREGATE(15,6,(ROW($U$2:$U$349)-ROW($U$2)+1)/($U$2:$U$349&lt;&gt;""),ROWS(V$2:V118))),"")</f>
        <v/>
      </c>
    </row>
    <row r="119" spans="1:22" x14ac:dyDescent="0.2">
      <c r="A119">
        <v>39</v>
      </c>
      <c r="B119" t="s">
        <v>141</v>
      </c>
      <c r="I119">
        <f t="shared" si="26"/>
        <v>0</v>
      </c>
      <c r="J119" t="str">
        <f t="shared" si="27"/>
        <v/>
      </c>
      <c r="K119" t="str">
        <f t="shared" si="28"/>
        <v/>
      </c>
      <c r="L119" t="str">
        <f t="shared" si="29"/>
        <v/>
      </c>
      <c r="M119" t="str">
        <f t="shared" si="30"/>
        <v/>
      </c>
      <c r="N119" t="str">
        <f t="shared" si="35"/>
        <v/>
      </c>
      <c r="O119" t="str">
        <f t="shared" si="36"/>
        <v/>
      </c>
      <c r="P119" t="str">
        <f t="shared" si="37"/>
        <v/>
      </c>
      <c r="Q119" t="str">
        <f t="shared" si="38"/>
        <v/>
      </c>
      <c r="R119" t="str">
        <f t="shared" si="39"/>
        <v/>
      </c>
      <c r="U119" t="str">
        <f>IF(COUNTIF($A$2:$A119,$A119)=1,$A119,"")</f>
        <v/>
      </c>
      <c r="V119" t="str">
        <f>IFERROR(INDEX($U$2:$U$349,_xlfn.AGGREGATE(15,6,(ROW($U$2:$U$349)-ROW($U$2)+1)/($U$2:$U$349&lt;&gt;""),ROWS(V$2:V119))),"")</f>
        <v/>
      </c>
    </row>
    <row r="120" spans="1:22" x14ac:dyDescent="0.2">
      <c r="A120">
        <v>40</v>
      </c>
      <c r="B120" t="s">
        <v>142</v>
      </c>
      <c r="I120">
        <f t="shared" si="26"/>
        <v>0</v>
      </c>
      <c r="J120" t="str">
        <f t="shared" si="27"/>
        <v/>
      </c>
      <c r="K120" t="str">
        <f t="shared" si="28"/>
        <v/>
      </c>
      <c r="L120" t="str">
        <f t="shared" si="29"/>
        <v/>
      </c>
      <c r="M120" t="str">
        <f t="shared" si="30"/>
        <v/>
      </c>
      <c r="N120" t="str">
        <f t="shared" si="35"/>
        <v/>
      </c>
      <c r="O120" t="str">
        <f t="shared" si="36"/>
        <v/>
      </c>
      <c r="P120" t="str">
        <f t="shared" si="37"/>
        <v/>
      </c>
      <c r="Q120" t="str">
        <f t="shared" si="38"/>
        <v/>
      </c>
      <c r="R120" t="str">
        <f t="shared" si="39"/>
        <v/>
      </c>
      <c r="U120">
        <f>IF(COUNTIF($A$2:$A120,$A120)=1,$A120,"")</f>
        <v>40</v>
      </c>
      <c r="V120" t="str">
        <f>IFERROR(INDEX($U$2:$U$349,_xlfn.AGGREGATE(15,6,(ROW($U$2:$U$349)-ROW($U$2)+1)/($U$2:$U$349&lt;&gt;""),ROWS(V$2:V120))),"")</f>
        <v/>
      </c>
    </row>
    <row r="121" spans="1:22" x14ac:dyDescent="0.2">
      <c r="A121">
        <v>40</v>
      </c>
      <c r="B121" t="s">
        <v>143</v>
      </c>
      <c r="I121">
        <f t="shared" si="26"/>
        <v>0</v>
      </c>
      <c r="J121" t="str">
        <f t="shared" si="27"/>
        <v/>
      </c>
      <c r="K121" t="str">
        <f t="shared" si="28"/>
        <v/>
      </c>
      <c r="L121" t="str">
        <f t="shared" si="29"/>
        <v/>
      </c>
      <c r="M121" t="str">
        <f t="shared" si="30"/>
        <v/>
      </c>
      <c r="N121" t="str">
        <f t="shared" si="35"/>
        <v/>
      </c>
      <c r="O121" t="str">
        <f t="shared" si="36"/>
        <v/>
      </c>
      <c r="P121" t="str">
        <f t="shared" si="37"/>
        <v/>
      </c>
      <c r="Q121" t="str">
        <f t="shared" si="38"/>
        <v/>
      </c>
      <c r="R121" t="str">
        <f t="shared" si="39"/>
        <v/>
      </c>
      <c r="U121" t="str">
        <f>IF(COUNTIF($A$2:$A121,$A121)=1,$A121,"")</f>
        <v/>
      </c>
      <c r="V121" t="str">
        <f>IFERROR(INDEX($U$2:$U$349,_xlfn.AGGREGATE(15,6,(ROW($U$2:$U$349)-ROW($U$2)+1)/($U$2:$U$349&lt;&gt;""),ROWS(V$2:V121))),"")</f>
        <v/>
      </c>
    </row>
    <row r="122" spans="1:22" x14ac:dyDescent="0.2">
      <c r="A122">
        <v>40</v>
      </c>
      <c r="B122" t="s">
        <v>144</v>
      </c>
      <c r="I122">
        <f t="shared" si="26"/>
        <v>0</v>
      </c>
      <c r="J122" t="str">
        <f t="shared" si="27"/>
        <v/>
      </c>
      <c r="K122" t="str">
        <f t="shared" si="28"/>
        <v/>
      </c>
      <c r="L122" t="str">
        <f t="shared" si="29"/>
        <v/>
      </c>
      <c r="M122" t="str">
        <f t="shared" si="30"/>
        <v/>
      </c>
      <c r="N122" t="str">
        <f t="shared" si="35"/>
        <v/>
      </c>
      <c r="O122" t="str">
        <f t="shared" si="36"/>
        <v/>
      </c>
      <c r="P122" t="str">
        <f t="shared" si="37"/>
        <v/>
      </c>
      <c r="Q122" t="str">
        <f t="shared" si="38"/>
        <v/>
      </c>
      <c r="R122" t="str">
        <f t="shared" si="39"/>
        <v/>
      </c>
      <c r="U122" t="str">
        <f>IF(COUNTIF($A$2:$A122,$A122)=1,$A122,"")</f>
        <v/>
      </c>
      <c r="V122" t="str">
        <f>IFERROR(INDEX($U$2:$U$349,_xlfn.AGGREGATE(15,6,(ROW($U$2:$U$349)-ROW($U$2)+1)/($U$2:$U$349&lt;&gt;""),ROWS(V$2:V122))),"")</f>
        <v/>
      </c>
    </row>
    <row r="123" spans="1:22" x14ac:dyDescent="0.2">
      <c r="A123">
        <v>41</v>
      </c>
      <c r="B123" t="s">
        <v>145</v>
      </c>
      <c r="I123">
        <f t="shared" si="26"/>
        <v>0</v>
      </c>
      <c r="J123" t="str">
        <f t="shared" si="27"/>
        <v/>
      </c>
      <c r="K123" t="str">
        <f t="shared" si="28"/>
        <v/>
      </c>
      <c r="L123" t="str">
        <f t="shared" si="29"/>
        <v/>
      </c>
      <c r="M123" t="str">
        <f t="shared" si="30"/>
        <v/>
      </c>
      <c r="N123" t="str">
        <f t="shared" si="35"/>
        <v/>
      </c>
      <c r="O123" t="str">
        <f t="shared" si="36"/>
        <v/>
      </c>
      <c r="P123" t="str">
        <f t="shared" si="37"/>
        <v/>
      </c>
      <c r="Q123" t="str">
        <f t="shared" si="38"/>
        <v/>
      </c>
      <c r="R123" t="str">
        <f t="shared" si="39"/>
        <v/>
      </c>
      <c r="U123">
        <f>IF(COUNTIF($A$2:$A123,$A123)=1,$A123,"")</f>
        <v>41</v>
      </c>
      <c r="V123" t="str">
        <f>IFERROR(INDEX($U$2:$U$349,_xlfn.AGGREGATE(15,6,(ROW($U$2:$U$349)-ROW($U$2)+1)/($U$2:$U$349&lt;&gt;""),ROWS(V$2:V123))),"")</f>
        <v/>
      </c>
    </row>
    <row r="124" spans="1:22" x14ac:dyDescent="0.2">
      <c r="A124">
        <v>41</v>
      </c>
      <c r="B124" t="s">
        <v>146</v>
      </c>
      <c r="I124">
        <f t="shared" si="26"/>
        <v>0</v>
      </c>
      <c r="J124" t="str">
        <f t="shared" si="27"/>
        <v/>
      </c>
      <c r="K124" t="str">
        <f t="shared" si="28"/>
        <v/>
      </c>
      <c r="L124" t="str">
        <f t="shared" si="29"/>
        <v/>
      </c>
      <c r="M124" t="str">
        <f t="shared" si="30"/>
        <v/>
      </c>
      <c r="N124" t="str">
        <f t="shared" si="35"/>
        <v/>
      </c>
      <c r="O124" t="str">
        <f t="shared" si="36"/>
        <v/>
      </c>
      <c r="P124" t="str">
        <f t="shared" si="37"/>
        <v/>
      </c>
      <c r="Q124" t="str">
        <f t="shared" si="38"/>
        <v/>
      </c>
      <c r="R124" t="str">
        <f t="shared" si="39"/>
        <v/>
      </c>
      <c r="U124" t="str">
        <f>IF(COUNTIF($A$2:$A124,$A124)=1,$A124,"")</f>
        <v/>
      </c>
      <c r="V124" t="str">
        <f>IFERROR(INDEX($U$2:$U$349,_xlfn.AGGREGATE(15,6,(ROW($U$2:$U$349)-ROW($U$2)+1)/($U$2:$U$349&lt;&gt;""),ROWS(V$2:V124))),"")</f>
        <v/>
      </c>
    </row>
    <row r="125" spans="1:22" x14ac:dyDescent="0.2">
      <c r="A125">
        <v>41</v>
      </c>
      <c r="B125" t="s">
        <v>147</v>
      </c>
      <c r="I125">
        <f t="shared" si="26"/>
        <v>0</v>
      </c>
      <c r="J125" t="str">
        <f t="shared" si="27"/>
        <v/>
      </c>
      <c r="K125" t="str">
        <f t="shared" si="28"/>
        <v/>
      </c>
      <c r="L125" t="str">
        <f t="shared" si="29"/>
        <v/>
      </c>
      <c r="M125" t="str">
        <f t="shared" si="30"/>
        <v/>
      </c>
      <c r="N125" t="str">
        <f t="shared" si="35"/>
        <v/>
      </c>
      <c r="O125" t="str">
        <f t="shared" si="36"/>
        <v/>
      </c>
      <c r="P125" t="str">
        <f t="shared" si="37"/>
        <v/>
      </c>
      <c r="Q125" t="str">
        <f t="shared" si="38"/>
        <v/>
      </c>
      <c r="R125" t="str">
        <f t="shared" si="39"/>
        <v/>
      </c>
      <c r="U125" t="str">
        <f>IF(COUNTIF($A$2:$A125,$A125)=1,$A125,"")</f>
        <v/>
      </c>
      <c r="V125" t="str">
        <f>IFERROR(INDEX($U$2:$U$349,_xlfn.AGGREGATE(15,6,(ROW($U$2:$U$349)-ROW($U$2)+1)/($U$2:$U$349&lt;&gt;""),ROWS(V$2:V125))),"")</f>
        <v/>
      </c>
    </row>
    <row r="126" spans="1:22" x14ac:dyDescent="0.2">
      <c r="A126">
        <v>42</v>
      </c>
      <c r="B126" t="s">
        <v>148</v>
      </c>
      <c r="I126">
        <f t="shared" si="26"/>
        <v>0</v>
      </c>
      <c r="J126" t="str">
        <f t="shared" si="27"/>
        <v/>
      </c>
      <c r="K126" t="str">
        <f t="shared" si="28"/>
        <v/>
      </c>
      <c r="L126" t="str">
        <f t="shared" si="29"/>
        <v/>
      </c>
      <c r="M126" t="str">
        <f t="shared" si="30"/>
        <v/>
      </c>
      <c r="N126" t="str">
        <f t="shared" si="35"/>
        <v/>
      </c>
      <c r="O126" t="str">
        <f t="shared" si="36"/>
        <v/>
      </c>
      <c r="P126" t="str">
        <f t="shared" si="37"/>
        <v/>
      </c>
      <c r="Q126" t="str">
        <f t="shared" si="38"/>
        <v/>
      </c>
      <c r="R126" t="str">
        <f t="shared" si="39"/>
        <v/>
      </c>
      <c r="U126">
        <f>IF(COUNTIF($A$2:$A126,$A126)=1,$A126,"")</f>
        <v>42</v>
      </c>
      <c r="V126" t="str">
        <f>IFERROR(INDEX($U$2:$U$349,_xlfn.AGGREGATE(15,6,(ROW($U$2:$U$349)-ROW($U$2)+1)/($U$2:$U$349&lt;&gt;""),ROWS(V$2:V126))),"")</f>
        <v/>
      </c>
    </row>
    <row r="127" spans="1:22" x14ac:dyDescent="0.2">
      <c r="A127">
        <v>42</v>
      </c>
      <c r="B127" t="s">
        <v>149</v>
      </c>
      <c r="I127">
        <f t="shared" si="26"/>
        <v>0</v>
      </c>
      <c r="J127" t="str">
        <f t="shared" si="27"/>
        <v/>
      </c>
      <c r="K127" t="str">
        <f t="shared" si="28"/>
        <v/>
      </c>
      <c r="L127" t="str">
        <f t="shared" si="29"/>
        <v/>
      </c>
      <c r="M127" t="str">
        <f t="shared" si="30"/>
        <v/>
      </c>
      <c r="N127" t="str">
        <f t="shared" si="35"/>
        <v/>
      </c>
      <c r="O127" t="str">
        <f t="shared" si="36"/>
        <v/>
      </c>
      <c r="P127" t="str">
        <f t="shared" si="37"/>
        <v/>
      </c>
      <c r="Q127" t="str">
        <f t="shared" si="38"/>
        <v/>
      </c>
      <c r="R127" t="str">
        <f t="shared" si="39"/>
        <v/>
      </c>
      <c r="U127" t="str">
        <f>IF(COUNTIF($A$2:$A127,$A127)=1,$A127,"")</f>
        <v/>
      </c>
      <c r="V127" t="str">
        <f>IFERROR(INDEX($U$2:$U$349,_xlfn.AGGREGATE(15,6,(ROW($U$2:$U$349)-ROW($U$2)+1)/($U$2:$U$349&lt;&gt;""),ROWS(V$2:V127))),"")</f>
        <v/>
      </c>
    </row>
    <row r="128" spans="1:22" x14ac:dyDescent="0.2">
      <c r="A128">
        <v>42</v>
      </c>
      <c r="B128" t="s">
        <v>150</v>
      </c>
      <c r="I128">
        <f t="shared" si="26"/>
        <v>0</v>
      </c>
      <c r="J128" t="str">
        <f t="shared" si="27"/>
        <v/>
      </c>
      <c r="K128" t="str">
        <f t="shared" si="28"/>
        <v/>
      </c>
      <c r="L128" t="str">
        <f t="shared" si="29"/>
        <v/>
      </c>
      <c r="M128" t="str">
        <f t="shared" si="30"/>
        <v/>
      </c>
      <c r="N128" t="str">
        <f t="shared" si="35"/>
        <v/>
      </c>
      <c r="O128" t="str">
        <f t="shared" si="36"/>
        <v/>
      </c>
      <c r="P128" t="str">
        <f t="shared" si="37"/>
        <v/>
      </c>
      <c r="Q128" t="str">
        <f t="shared" si="38"/>
        <v/>
      </c>
      <c r="R128" t="str">
        <f t="shared" si="39"/>
        <v/>
      </c>
      <c r="U128" t="str">
        <f>IF(COUNTIF($A$2:$A128,$A128)=1,$A128,"")</f>
        <v/>
      </c>
      <c r="V128" t="str">
        <f>IFERROR(INDEX($U$2:$U$349,_xlfn.AGGREGATE(15,6,(ROW($U$2:$U$349)-ROW($U$2)+1)/($U$2:$U$349&lt;&gt;""),ROWS(V$2:V128))),"")</f>
        <v/>
      </c>
    </row>
    <row r="129" spans="1:22" x14ac:dyDescent="0.2">
      <c r="A129">
        <v>43</v>
      </c>
      <c r="B129" t="s">
        <v>151</v>
      </c>
      <c r="I129">
        <f t="shared" si="26"/>
        <v>0</v>
      </c>
      <c r="J129" t="str">
        <f t="shared" si="27"/>
        <v/>
      </c>
      <c r="K129" t="str">
        <f t="shared" si="28"/>
        <v/>
      </c>
      <c r="L129" t="str">
        <f t="shared" si="29"/>
        <v/>
      </c>
      <c r="M129" t="str">
        <f t="shared" si="30"/>
        <v/>
      </c>
      <c r="N129" t="str">
        <f t="shared" si="35"/>
        <v/>
      </c>
      <c r="O129" t="str">
        <f t="shared" si="36"/>
        <v/>
      </c>
      <c r="P129" t="str">
        <f t="shared" si="37"/>
        <v/>
      </c>
      <c r="Q129" t="str">
        <f t="shared" si="38"/>
        <v/>
      </c>
      <c r="R129" t="str">
        <f t="shared" si="39"/>
        <v/>
      </c>
      <c r="U129">
        <f>IF(COUNTIF($A$2:$A129,$A129)=1,$A129,"")</f>
        <v>43</v>
      </c>
      <c r="V129" t="str">
        <f>IFERROR(INDEX($U$2:$U$349,_xlfn.AGGREGATE(15,6,(ROW($U$2:$U$349)-ROW($U$2)+1)/($U$2:$U$349&lt;&gt;""),ROWS(V$2:V129))),"")</f>
        <v/>
      </c>
    </row>
    <row r="130" spans="1:22" x14ac:dyDescent="0.2">
      <c r="A130">
        <v>43</v>
      </c>
      <c r="B130" t="s">
        <v>152</v>
      </c>
      <c r="I130">
        <f t="shared" ref="I130:I193" si="45">COUNTIF($A$2:$A$252,"="&amp;E130)</f>
        <v>0</v>
      </c>
      <c r="J130" t="str">
        <f t="shared" ref="J130:J193" si="46">IF($I130&gt;0,INDEX(A$2:B$349,MATCH($E130,A$2:A$349,0),2),"")</f>
        <v/>
      </c>
      <c r="K130" t="str">
        <f t="shared" ref="K130:K193" si="47">IF($I130&gt;1,INDEX(A$2:B$349,MATCH($E130,A$2:A$349,0)+1,2),"")</f>
        <v/>
      </c>
      <c r="L130" t="str">
        <f t="shared" ref="L130:L193" si="48">IF($I130&gt;2,INDEX(A$2:B$349,MATCH($E130,A$2:A$349,0)+2,2),"")</f>
        <v/>
      </c>
      <c r="M130" t="str">
        <f t="shared" ref="M130:M193" si="49">IF($I130&gt;3,INDEX(A$2:B$349,MATCH($E130,A$2:A$349,0)+3,2),"")</f>
        <v/>
      </c>
      <c r="N130" t="str">
        <f t="shared" si="35"/>
        <v/>
      </c>
      <c r="O130" t="str">
        <f t="shared" si="36"/>
        <v/>
      </c>
      <c r="P130" t="str">
        <f t="shared" si="37"/>
        <v/>
      </c>
      <c r="Q130" t="str">
        <f t="shared" si="38"/>
        <v/>
      </c>
      <c r="R130" t="str">
        <f t="shared" si="39"/>
        <v/>
      </c>
      <c r="U130" t="str">
        <f>IF(COUNTIF($A$2:$A130,$A130)=1,$A130,"")</f>
        <v/>
      </c>
      <c r="V130" t="str">
        <f>IFERROR(INDEX($U$2:$U$349,_xlfn.AGGREGATE(15,6,(ROW($U$2:$U$349)-ROW($U$2)+1)/($U$2:$U$349&lt;&gt;""),ROWS(V$2:V130))),"")</f>
        <v/>
      </c>
    </row>
    <row r="131" spans="1:22" x14ac:dyDescent="0.2">
      <c r="A131">
        <v>43</v>
      </c>
      <c r="B131" t="s">
        <v>153</v>
      </c>
      <c r="I131">
        <f t="shared" si="45"/>
        <v>0</v>
      </c>
      <c r="J131" t="str">
        <f t="shared" si="46"/>
        <v/>
      </c>
      <c r="K131" t="str">
        <f t="shared" si="47"/>
        <v/>
      </c>
      <c r="L131" t="str">
        <f t="shared" si="48"/>
        <v/>
      </c>
      <c r="M131" t="str">
        <f t="shared" si="49"/>
        <v/>
      </c>
      <c r="N131" t="str">
        <f t="shared" si="35"/>
        <v/>
      </c>
      <c r="O131" t="str">
        <f t="shared" si="36"/>
        <v/>
      </c>
      <c r="P131" t="str">
        <f t="shared" si="37"/>
        <v/>
      </c>
      <c r="Q131" t="str">
        <f t="shared" si="38"/>
        <v/>
      </c>
      <c r="R131" t="str">
        <f t="shared" si="39"/>
        <v/>
      </c>
      <c r="U131" t="str">
        <f>IF(COUNTIF($A$2:$A131,$A131)=1,$A131,"")</f>
        <v/>
      </c>
      <c r="V131" t="str">
        <f>IFERROR(INDEX($U$2:$U$349,_xlfn.AGGREGATE(15,6,(ROW($U$2:$U$349)-ROW($U$2)+1)/($U$2:$U$349&lt;&gt;""),ROWS(V$2:V131))),"")</f>
        <v/>
      </c>
    </row>
    <row r="132" spans="1:22" x14ac:dyDescent="0.2">
      <c r="A132">
        <v>44</v>
      </c>
      <c r="B132" t="s">
        <v>154</v>
      </c>
      <c r="I132">
        <f t="shared" si="45"/>
        <v>0</v>
      </c>
      <c r="J132" t="str">
        <f t="shared" si="46"/>
        <v/>
      </c>
      <c r="K132" t="str">
        <f t="shared" si="47"/>
        <v/>
      </c>
      <c r="L132" t="str">
        <f t="shared" si="48"/>
        <v/>
      </c>
      <c r="M132" t="str">
        <f t="shared" si="49"/>
        <v/>
      </c>
      <c r="N132" t="str">
        <f t="shared" si="35"/>
        <v/>
      </c>
      <c r="O132" t="str">
        <f t="shared" si="36"/>
        <v/>
      </c>
      <c r="P132" t="str">
        <f t="shared" si="37"/>
        <v/>
      </c>
      <c r="Q132" t="str">
        <f t="shared" si="38"/>
        <v/>
      </c>
      <c r="R132" t="str">
        <f t="shared" si="39"/>
        <v/>
      </c>
      <c r="U132">
        <f>IF(COUNTIF($A$2:$A132,$A132)=1,$A132,"")</f>
        <v>44</v>
      </c>
      <c r="V132" t="str">
        <f>IFERROR(INDEX($U$2:$U$349,_xlfn.AGGREGATE(15,6,(ROW($U$2:$U$349)-ROW($U$2)+1)/($U$2:$U$349&lt;&gt;""),ROWS(V$2:V132))),"")</f>
        <v/>
      </c>
    </row>
    <row r="133" spans="1:22" x14ac:dyDescent="0.2">
      <c r="A133">
        <v>44</v>
      </c>
      <c r="B133" t="s">
        <v>155</v>
      </c>
      <c r="I133">
        <f t="shared" si="45"/>
        <v>0</v>
      </c>
      <c r="J133" t="str">
        <f t="shared" si="46"/>
        <v/>
      </c>
      <c r="K133" t="str">
        <f t="shared" si="47"/>
        <v/>
      </c>
      <c r="L133" t="str">
        <f t="shared" si="48"/>
        <v/>
      </c>
      <c r="M133" t="str">
        <f t="shared" si="49"/>
        <v/>
      </c>
      <c r="N133" t="str">
        <f t="shared" si="35"/>
        <v/>
      </c>
      <c r="O133" t="str">
        <f t="shared" si="36"/>
        <v/>
      </c>
      <c r="P133" t="str">
        <f t="shared" si="37"/>
        <v/>
      </c>
      <c r="Q133" t="str">
        <f t="shared" si="38"/>
        <v/>
      </c>
      <c r="R133" t="str">
        <f t="shared" si="39"/>
        <v/>
      </c>
      <c r="U133" t="str">
        <f>IF(COUNTIF($A$2:$A133,$A133)=1,$A133,"")</f>
        <v/>
      </c>
      <c r="V133" t="str">
        <f>IFERROR(INDEX($U$2:$U$349,_xlfn.AGGREGATE(15,6,(ROW($U$2:$U$349)-ROW($U$2)+1)/($U$2:$U$349&lt;&gt;""),ROWS(V$2:V133))),"")</f>
        <v/>
      </c>
    </row>
    <row r="134" spans="1:22" x14ac:dyDescent="0.2">
      <c r="A134">
        <v>44</v>
      </c>
      <c r="B134" t="s">
        <v>246</v>
      </c>
      <c r="I134">
        <f t="shared" si="45"/>
        <v>0</v>
      </c>
      <c r="J134" t="str">
        <f t="shared" si="46"/>
        <v/>
      </c>
      <c r="K134" t="str">
        <f t="shared" si="47"/>
        <v/>
      </c>
      <c r="L134" t="str">
        <f t="shared" si="48"/>
        <v/>
      </c>
      <c r="M134" t="str">
        <f t="shared" si="49"/>
        <v/>
      </c>
      <c r="N134" t="str">
        <f t="shared" ref="N134:Q135" si="50">IF(J134&lt;&gt;"",CONCATENATE(J134,"@uwo.ca",""),"")</f>
        <v/>
      </c>
      <c r="O134" t="str">
        <f t="shared" si="50"/>
        <v/>
      </c>
      <c r="P134" t="str">
        <f t="shared" si="50"/>
        <v/>
      </c>
      <c r="Q134" t="str">
        <f t="shared" si="50"/>
        <v/>
      </c>
      <c r="R134" t="str">
        <f>N134&amp;IF(O134&lt;&gt;"",";"&amp;O134,"")&amp;IF(P134&lt;&gt;"",";"&amp;P134,"")&amp;IF(Q134&lt;&gt;"",";"&amp;Q134,"")</f>
        <v/>
      </c>
      <c r="U134" t="str">
        <f>IF(COUNTIF($A$2:$A134,$A134)=1,$A134,"")</f>
        <v/>
      </c>
    </row>
    <row r="135" spans="1:22" x14ac:dyDescent="0.2">
      <c r="A135">
        <v>44</v>
      </c>
      <c r="B135" t="s">
        <v>247</v>
      </c>
      <c r="I135">
        <f t="shared" si="45"/>
        <v>0</v>
      </c>
      <c r="J135" t="str">
        <f t="shared" si="46"/>
        <v/>
      </c>
      <c r="K135" t="str">
        <f t="shared" si="47"/>
        <v/>
      </c>
      <c r="L135" t="str">
        <f t="shared" si="48"/>
        <v/>
      </c>
      <c r="M135" t="str">
        <f t="shared" si="49"/>
        <v/>
      </c>
      <c r="N135" t="str">
        <f t="shared" si="50"/>
        <v/>
      </c>
      <c r="O135" t="str">
        <f t="shared" si="50"/>
        <v/>
      </c>
      <c r="P135" t="str">
        <f t="shared" si="50"/>
        <v/>
      </c>
      <c r="Q135" t="str">
        <f t="shared" si="50"/>
        <v/>
      </c>
      <c r="R135" t="str">
        <f>N135&amp;IF(O135&lt;&gt;"",";"&amp;O135,"")&amp;IF(P135&lt;&gt;"",";"&amp;P135,"")&amp;IF(Q135&lt;&gt;"",";"&amp;Q135,"")</f>
        <v/>
      </c>
      <c r="U135" t="str">
        <f>IF(COUNTIF($A$2:$A225,$A135)=1,$A135,"")</f>
        <v/>
      </c>
    </row>
    <row r="136" spans="1:22" x14ac:dyDescent="0.2">
      <c r="A136">
        <v>45</v>
      </c>
      <c r="B136" t="s">
        <v>156</v>
      </c>
      <c r="I136">
        <f t="shared" si="45"/>
        <v>0</v>
      </c>
      <c r="J136" t="str">
        <f t="shared" si="46"/>
        <v/>
      </c>
      <c r="K136" t="str">
        <f t="shared" si="47"/>
        <v/>
      </c>
      <c r="L136" t="str">
        <f t="shared" si="48"/>
        <v/>
      </c>
      <c r="M136" t="str">
        <f t="shared" si="49"/>
        <v/>
      </c>
      <c r="N136" t="str">
        <f t="shared" si="35"/>
        <v/>
      </c>
      <c r="O136" t="str">
        <f t="shared" si="36"/>
        <v/>
      </c>
      <c r="P136" t="str">
        <f t="shared" si="37"/>
        <v/>
      </c>
      <c r="Q136" t="str">
        <f t="shared" si="38"/>
        <v/>
      </c>
      <c r="R136" t="str">
        <f t="shared" si="39"/>
        <v/>
      </c>
      <c r="U136">
        <f>IF(COUNTIF($A$2:$A136,$A136)=1,$A136,"")</f>
        <v>45</v>
      </c>
      <c r="V136" t="str">
        <f>IFERROR(INDEX($U$2:$U$349,_xlfn.AGGREGATE(15,6,(ROW($U$2:$U$349)-ROW($U$2)+1)/($U$2:$U$349&lt;&gt;""),ROWS(V$2:V136))),"")</f>
        <v/>
      </c>
    </row>
    <row r="137" spans="1:22" x14ac:dyDescent="0.2">
      <c r="A137">
        <v>45</v>
      </c>
      <c r="B137" t="s">
        <v>157</v>
      </c>
      <c r="I137">
        <f t="shared" si="45"/>
        <v>0</v>
      </c>
      <c r="J137" t="str">
        <f t="shared" si="46"/>
        <v/>
      </c>
      <c r="K137" t="str">
        <f t="shared" si="47"/>
        <v/>
      </c>
      <c r="L137" t="str">
        <f t="shared" si="48"/>
        <v/>
      </c>
      <c r="M137" t="str">
        <f t="shared" si="49"/>
        <v/>
      </c>
      <c r="N137" t="str">
        <f t="shared" si="35"/>
        <v/>
      </c>
      <c r="O137" t="str">
        <f t="shared" si="36"/>
        <v/>
      </c>
      <c r="P137" t="str">
        <f t="shared" si="37"/>
        <v/>
      </c>
      <c r="Q137" t="str">
        <f t="shared" si="38"/>
        <v/>
      </c>
      <c r="R137" t="str">
        <f t="shared" si="39"/>
        <v/>
      </c>
      <c r="U137" t="str">
        <f>IF(COUNTIF($A$2:$A137,$A137)=1,$A137,"")</f>
        <v/>
      </c>
    </row>
    <row r="138" spans="1:22" x14ac:dyDescent="0.2">
      <c r="A138">
        <v>45</v>
      </c>
      <c r="B138" t="s">
        <v>158</v>
      </c>
      <c r="I138">
        <f t="shared" si="45"/>
        <v>0</v>
      </c>
      <c r="J138" t="str">
        <f t="shared" si="46"/>
        <v/>
      </c>
      <c r="K138" t="str">
        <f t="shared" si="47"/>
        <v/>
      </c>
      <c r="L138" t="str">
        <f t="shared" si="48"/>
        <v/>
      </c>
      <c r="M138" t="str">
        <f t="shared" si="49"/>
        <v/>
      </c>
      <c r="N138" t="str">
        <f t="shared" si="35"/>
        <v/>
      </c>
      <c r="O138" t="str">
        <f t="shared" si="36"/>
        <v/>
      </c>
      <c r="P138" t="str">
        <f t="shared" si="37"/>
        <v/>
      </c>
      <c r="Q138" t="str">
        <f t="shared" si="38"/>
        <v/>
      </c>
      <c r="R138" t="str">
        <f t="shared" si="39"/>
        <v/>
      </c>
      <c r="U138" t="str">
        <f>IF(COUNTIF($A$2:$A138,$A138)=1,$A138,"")</f>
        <v/>
      </c>
    </row>
    <row r="139" spans="1:22" x14ac:dyDescent="0.2">
      <c r="A139">
        <v>46</v>
      </c>
      <c r="B139" t="s">
        <v>159</v>
      </c>
      <c r="I139">
        <f t="shared" si="45"/>
        <v>0</v>
      </c>
      <c r="J139" t="str">
        <f t="shared" si="46"/>
        <v/>
      </c>
      <c r="K139" t="str">
        <f t="shared" si="47"/>
        <v/>
      </c>
      <c r="L139" t="str">
        <f t="shared" si="48"/>
        <v/>
      </c>
      <c r="M139" t="str">
        <f t="shared" si="49"/>
        <v/>
      </c>
      <c r="N139" t="str">
        <f t="shared" si="35"/>
        <v/>
      </c>
      <c r="O139" t="str">
        <f t="shared" si="36"/>
        <v/>
      </c>
      <c r="P139" t="str">
        <f t="shared" si="37"/>
        <v/>
      </c>
      <c r="Q139" t="str">
        <f t="shared" si="38"/>
        <v/>
      </c>
      <c r="R139" t="str">
        <f t="shared" si="39"/>
        <v/>
      </c>
      <c r="U139">
        <f>IF(COUNTIF($A$2:$A139,$A139)=1,$A139,"")</f>
        <v>46</v>
      </c>
    </row>
    <row r="140" spans="1:22" x14ac:dyDescent="0.2">
      <c r="A140">
        <v>46</v>
      </c>
      <c r="B140" t="s">
        <v>160</v>
      </c>
      <c r="I140">
        <f t="shared" si="45"/>
        <v>0</v>
      </c>
      <c r="J140" t="str">
        <f t="shared" si="46"/>
        <v/>
      </c>
      <c r="K140" t="str">
        <f t="shared" si="47"/>
        <v/>
      </c>
      <c r="L140" t="str">
        <f t="shared" si="48"/>
        <v/>
      </c>
      <c r="M140" t="str">
        <f t="shared" si="49"/>
        <v/>
      </c>
      <c r="N140" t="str">
        <f t="shared" si="35"/>
        <v/>
      </c>
      <c r="O140" t="str">
        <f t="shared" si="36"/>
        <v/>
      </c>
      <c r="P140" t="str">
        <f t="shared" si="37"/>
        <v/>
      </c>
      <c r="Q140" t="str">
        <f t="shared" si="38"/>
        <v/>
      </c>
      <c r="R140" t="str">
        <f t="shared" si="39"/>
        <v/>
      </c>
      <c r="U140" t="str">
        <f>IF(COUNTIF($A$2:$A140,$A140)=1,$A140,"")</f>
        <v/>
      </c>
    </row>
    <row r="141" spans="1:22" x14ac:dyDescent="0.2">
      <c r="A141">
        <v>46</v>
      </c>
      <c r="B141" t="s">
        <v>161</v>
      </c>
      <c r="I141">
        <f t="shared" si="45"/>
        <v>0</v>
      </c>
      <c r="J141" t="str">
        <f t="shared" si="46"/>
        <v/>
      </c>
      <c r="K141" t="str">
        <f t="shared" si="47"/>
        <v/>
      </c>
      <c r="L141" t="str">
        <f t="shared" si="48"/>
        <v/>
      </c>
      <c r="M141" t="str">
        <f t="shared" si="49"/>
        <v/>
      </c>
      <c r="N141" t="str">
        <f t="shared" si="35"/>
        <v/>
      </c>
      <c r="O141" t="str">
        <f t="shared" si="36"/>
        <v/>
      </c>
      <c r="P141" t="str">
        <f t="shared" si="37"/>
        <v/>
      </c>
      <c r="Q141" t="str">
        <f t="shared" si="38"/>
        <v/>
      </c>
      <c r="R141" t="str">
        <f t="shared" si="39"/>
        <v/>
      </c>
      <c r="U141" t="str">
        <f>IF(COUNTIF($A$2:$A141,$A141)=1,$A141,"")</f>
        <v/>
      </c>
    </row>
    <row r="142" spans="1:22" x14ac:dyDescent="0.2">
      <c r="A142">
        <v>47</v>
      </c>
      <c r="B142" t="s">
        <v>162</v>
      </c>
      <c r="I142">
        <f t="shared" si="45"/>
        <v>0</v>
      </c>
      <c r="J142" t="str">
        <f t="shared" si="46"/>
        <v/>
      </c>
      <c r="K142" t="str">
        <f t="shared" si="47"/>
        <v/>
      </c>
      <c r="L142" t="str">
        <f t="shared" si="48"/>
        <v/>
      </c>
      <c r="M142" t="str">
        <f t="shared" si="49"/>
        <v/>
      </c>
      <c r="N142" t="str">
        <f t="shared" ref="N142:N205" si="51">IF(J142&lt;&gt;"",CONCATENATE(J142,"@uwo.ca",""),"")</f>
        <v/>
      </c>
      <c r="O142" t="str">
        <f t="shared" ref="O142:O205" si="52">IF(K142&lt;&gt;"",CONCATENATE(K142,"@uwo.ca",""),"")</f>
        <v/>
      </c>
      <c r="P142" t="str">
        <f t="shared" ref="P142:P205" si="53">IF(L142&lt;&gt;"",CONCATENATE(L142,"@uwo.ca",""),"")</f>
        <v/>
      </c>
      <c r="Q142" t="str">
        <f t="shared" ref="Q142:Q205" si="54">IF(M142&lt;&gt;"",CONCATENATE(M142,"@uwo.ca",""),"")</f>
        <v/>
      </c>
      <c r="R142" t="str">
        <f t="shared" ref="R142:R205" si="55">N142&amp;IF(O142&lt;&gt;"",";"&amp;O142,"")&amp;IF(P142&lt;&gt;"",";"&amp;P142,"")&amp;IF(Q142&lt;&gt;"",";"&amp;Q142,"")</f>
        <v/>
      </c>
      <c r="U142">
        <f>IF(COUNTIF($A$2:$A142,$A142)=1,$A142,"")</f>
        <v>47</v>
      </c>
    </row>
    <row r="143" spans="1:22" x14ac:dyDescent="0.2">
      <c r="A143">
        <v>47</v>
      </c>
      <c r="B143" t="s">
        <v>163</v>
      </c>
      <c r="I143">
        <f t="shared" si="45"/>
        <v>0</v>
      </c>
      <c r="J143" t="str">
        <f t="shared" si="46"/>
        <v/>
      </c>
      <c r="K143" t="str">
        <f t="shared" si="47"/>
        <v/>
      </c>
      <c r="L143" t="str">
        <f t="shared" si="48"/>
        <v/>
      </c>
      <c r="M143" t="str">
        <f t="shared" si="49"/>
        <v/>
      </c>
      <c r="N143" t="str">
        <f t="shared" si="51"/>
        <v/>
      </c>
      <c r="O143" t="str">
        <f t="shared" si="52"/>
        <v/>
      </c>
      <c r="P143" t="str">
        <f t="shared" si="53"/>
        <v/>
      </c>
      <c r="Q143" t="str">
        <f t="shared" si="54"/>
        <v/>
      </c>
      <c r="R143" t="str">
        <f t="shared" si="55"/>
        <v/>
      </c>
      <c r="U143" t="str">
        <f>IF(COUNTIF($A$2:$A143,$A143)=1,$A143,"")</f>
        <v/>
      </c>
    </row>
    <row r="144" spans="1:22" x14ac:dyDescent="0.2">
      <c r="A144">
        <v>47</v>
      </c>
      <c r="B144" t="s">
        <v>164</v>
      </c>
      <c r="I144">
        <f t="shared" si="45"/>
        <v>0</v>
      </c>
      <c r="J144" t="str">
        <f t="shared" si="46"/>
        <v/>
      </c>
      <c r="K144" t="str">
        <f t="shared" si="47"/>
        <v/>
      </c>
      <c r="L144" t="str">
        <f t="shared" si="48"/>
        <v/>
      </c>
      <c r="M144" t="str">
        <f t="shared" si="49"/>
        <v/>
      </c>
      <c r="N144" t="str">
        <f t="shared" si="51"/>
        <v/>
      </c>
      <c r="O144" t="str">
        <f t="shared" si="52"/>
        <v/>
      </c>
      <c r="P144" t="str">
        <f t="shared" si="53"/>
        <v/>
      </c>
      <c r="Q144" t="str">
        <f t="shared" si="54"/>
        <v/>
      </c>
      <c r="R144" t="str">
        <f t="shared" si="55"/>
        <v/>
      </c>
      <c r="U144" t="str">
        <f>IF(COUNTIF($A$2:$A144,$A144)=1,$A144,"")</f>
        <v/>
      </c>
    </row>
    <row r="145" spans="1:21" x14ac:dyDescent="0.2">
      <c r="A145">
        <v>48</v>
      </c>
      <c r="B145" t="s">
        <v>165</v>
      </c>
      <c r="I145">
        <f t="shared" si="45"/>
        <v>0</v>
      </c>
      <c r="J145" t="str">
        <f t="shared" si="46"/>
        <v/>
      </c>
      <c r="K145" t="str">
        <f t="shared" si="47"/>
        <v/>
      </c>
      <c r="L145" t="str">
        <f t="shared" si="48"/>
        <v/>
      </c>
      <c r="M145" t="str">
        <f t="shared" si="49"/>
        <v/>
      </c>
      <c r="N145" t="str">
        <f t="shared" si="51"/>
        <v/>
      </c>
      <c r="O145" t="str">
        <f t="shared" si="52"/>
        <v/>
      </c>
      <c r="P145" t="str">
        <f t="shared" si="53"/>
        <v/>
      </c>
      <c r="Q145" t="str">
        <f t="shared" si="54"/>
        <v/>
      </c>
      <c r="R145" t="str">
        <f t="shared" si="55"/>
        <v/>
      </c>
      <c r="U145">
        <f>IF(COUNTIF($A$2:$A145,$A145)=1,$A145,"")</f>
        <v>48</v>
      </c>
    </row>
    <row r="146" spans="1:21" x14ac:dyDescent="0.2">
      <c r="A146">
        <v>48</v>
      </c>
      <c r="B146" t="s">
        <v>166</v>
      </c>
      <c r="I146">
        <f t="shared" si="45"/>
        <v>0</v>
      </c>
      <c r="J146" t="str">
        <f t="shared" si="46"/>
        <v/>
      </c>
      <c r="K146" t="str">
        <f t="shared" si="47"/>
        <v/>
      </c>
      <c r="L146" t="str">
        <f t="shared" si="48"/>
        <v/>
      </c>
      <c r="M146" t="str">
        <f t="shared" si="49"/>
        <v/>
      </c>
      <c r="N146" t="str">
        <f t="shared" si="51"/>
        <v/>
      </c>
      <c r="O146" t="str">
        <f t="shared" si="52"/>
        <v/>
      </c>
      <c r="P146" t="str">
        <f t="shared" si="53"/>
        <v/>
      </c>
      <c r="Q146" t="str">
        <f t="shared" si="54"/>
        <v/>
      </c>
      <c r="R146" t="str">
        <f t="shared" si="55"/>
        <v/>
      </c>
      <c r="U146" t="str">
        <f>IF(COUNTIF($A$2:$A146,$A146)=1,$A146,"")</f>
        <v/>
      </c>
    </row>
    <row r="147" spans="1:21" x14ac:dyDescent="0.2">
      <c r="A147">
        <v>48</v>
      </c>
      <c r="B147" t="s">
        <v>167</v>
      </c>
      <c r="I147">
        <f t="shared" si="45"/>
        <v>0</v>
      </c>
      <c r="J147" t="str">
        <f t="shared" si="46"/>
        <v/>
      </c>
      <c r="K147" t="str">
        <f t="shared" si="47"/>
        <v/>
      </c>
      <c r="L147" t="str">
        <f t="shared" si="48"/>
        <v/>
      </c>
      <c r="M147" t="str">
        <f t="shared" si="49"/>
        <v/>
      </c>
      <c r="N147" t="str">
        <f t="shared" si="51"/>
        <v/>
      </c>
      <c r="O147" t="str">
        <f t="shared" si="52"/>
        <v/>
      </c>
      <c r="P147" t="str">
        <f t="shared" si="53"/>
        <v/>
      </c>
      <c r="Q147" t="str">
        <f t="shared" si="54"/>
        <v/>
      </c>
      <c r="R147" t="str">
        <f t="shared" si="55"/>
        <v/>
      </c>
      <c r="U147" t="str">
        <f>IF(COUNTIF($A$2:$A147,$A147)=1,$A147,"")</f>
        <v/>
      </c>
    </row>
    <row r="148" spans="1:21" x14ac:dyDescent="0.2">
      <c r="A148">
        <v>49</v>
      </c>
      <c r="B148" t="s">
        <v>168</v>
      </c>
      <c r="I148">
        <f t="shared" si="45"/>
        <v>0</v>
      </c>
      <c r="J148" t="str">
        <f t="shared" si="46"/>
        <v/>
      </c>
      <c r="K148" t="str">
        <f t="shared" si="47"/>
        <v/>
      </c>
      <c r="L148" t="str">
        <f t="shared" si="48"/>
        <v/>
      </c>
      <c r="M148" t="str">
        <f t="shared" si="49"/>
        <v/>
      </c>
      <c r="N148" t="str">
        <f t="shared" si="51"/>
        <v/>
      </c>
      <c r="O148" t="str">
        <f t="shared" si="52"/>
        <v/>
      </c>
      <c r="P148" t="str">
        <f t="shared" si="53"/>
        <v/>
      </c>
      <c r="Q148" t="str">
        <f t="shared" si="54"/>
        <v/>
      </c>
      <c r="R148" t="str">
        <f t="shared" si="55"/>
        <v/>
      </c>
      <c r="U148">
        <f>IF(COUNTIF($A$2:$A148,$A148)=1,$A148,"")</f>
        <v>49</v>
      </c>
    </row>
    <row r="149" spans="1:21" x14ac:dyDescent="0.2">
      <c r="A149">
        <v>49</v>
      </c>
      <c r="B149" t="s">
        <v>169</v>
      </c>
      <c r="I149">
        <f t="shared" si="45"/>
        <v>0</v>
      </c>
      <c r="J149" t="str">
        <f t="shared" si="46"/>
        <v/>
      </c>
      <c r="K149" t="str">
        <f t="shared" si="47"/>
        <v/>
      </c>
      <c r="L149" t="str">
        <f t="shared" si="48"/>
        <v/>
      </c>
      <c r="M149" t="str">
        <f t="shared" si="49"/>
        <v/>
      </c>
      <c r="N149" t="str">
        <f t="shared" si="51"/>
        <v/>
      </c>
      <c r="O149" t="str">
        <f t="shared" si="52"/>
        <v/>
      </c>
      <c r="P149" t="str">
        <f t="shared" si="53"/>
        <v/>
      </c>
      <c r="Q149" t="str">
        <f t="shared" si="54"/>
        <v/>
      </c>
      <c r="R149" t="str">
        <f t="shared" si="55"/>
        <v/>
      </c>
      <c r="U149" t="str">
        <f>IF(COUNTIF($A$2:$A149,$A149)=1,$A149,"")</f>
        <v/>
      </c>
    </row>
    <row r="150" spans="1:21" x14ac:dyDescent="0.2">
      <c r="A150">
        <v>49</v>
      </c>
      <c r="B150" t="s">
        <v>170</v>
      </c>
      <c r="I150">
        <f t="shared" si="45"/>
        <v>0</v>
      </c>
      <c r="J150" t="str">
        <f t="shared" si="46"/>
        <v/>
      </c>
      <c r="K150" t="str">
        <f t="shared" si="47"/>
        <v/>
      </c>
      <c r="L150" t="str">
        <f t="shared" si="48"/>
        <v/>
      </c>
      <c r="M150" t="str">
        <f t="shared" si="49"/>
        <v/>
      </c>
      <c r="N150" t="str">
        <f t="shared" si="51"/>
        <v/>
      </c>
      <c r="O150" t="str">
        <f t="shared" si="52"/>
        <v/>
      </c>
      <c r="P150" t="str">
        <f t="shared" si="53"/>
        <v/>
      </c>
      <c r="Q150" t="str">
        <f t="shared" si="54"/>
        <v/>
      </c>
      <c r="R150" t="str">
        <f t="shared" si="55"/>
        <v/>
      </c>
      <c r="U150" t="str">
        <f>IF(COUNTIF($A$2:$A150,$A150)=1,$A150,"")</f>
        <v/>
      </c>
    </row>
    <row r="151" spans="1:21" x14ac:dyDescent="0.2">
      <c r="A151">
        <v>50</v>
      </c>
      <c r="B151" t="s">
        <v>171</v>
      </c>
      <c r="I151">
        <f t="shared" si="45"/>
        <v>0</v>
      </c>
      <c r="J151" t="str">
        <f t="shared" si="46"/>
        <v/>
      </c>
      <c r="K151" t="str">
        <f t="shared" si="47"/>
        <v/>
      </c>
      <c r="L151" t="str">
        <f t="shared" si="48"/>
        <v/>
      </c>
      <c r="M151" t="str">
        <f t="shared" si="49"/>
        <v/>
      </c>
      <c r="N151" t="str">
        <f t="shared" si="51"/>
        <v/>
      </c>
      <c r="O151" t="str">
        <f t="shared" si="52"/>
        <v/>
      </c>
      <c r="P151" t="str">
        <f t="shared" si="53"/>
        <v/>
      </c>
      <c r="Q151" t="str">
        <f t="shared" si="54"/>
        <v/>
      </c>
      <c r="R151" t="str">
        <f t="shared" si="55"/>
        <v/>
      </c>
      <c r="U151">
        <f>IF(COUNTIF($A$2:$A151,$A151)=1,$A151,"")</f>
        <v>50</v>
      </c>
    </row>
    <row r="152" spans="1:21" x14ac:dyDescent="0.2">
      <c r="A152">
        <v>50</v>
      </c>
      <c r="B152" t="s">
        <v>172</v>
      </c>
      <c r="I152">
        <f t="shared" si="45"/>
        <v>0</v>
      </c>
      <c r="J152" t="str">
        <f t="shared" si="46"/>
        <v/>
      </c>
      <c r="K152" t="str">
        <f t="shared" si="47"/>
        <v/>
      </c>
      <c r="L152" t="str">
        <f t="shared" si="48"/>
        <v/>
      </c>
      <c r="M152" t="str">
        <f t="shared" si="49"/>
        <v/>
      </c>
      <c r="N152" t="str">
        <f t="shared" si="51"/>
        <v/>
      </c>
      <c r="O152" t="str">
        <f t="shared" si="52"/>
        <v/>
      </c>
      <c r="P152" t="str">
        <f t="shared" si="53"/>
        <v/>
      </c>
      <c r="Q152" t="str">
        <f t="shared" si="54"/>
        <v/>
      </c>
      <c r="R152" t="str">
        <f t="shared" si="55"/>
        <v/>
      </c>
      <c r="U152" t="str">
        <f>IF(COUNTIF($A$2:$A152,$A152)=1,$A152,"")</f>
        <v/>
      </c>
    </row>
    <row r="153" spans="1:21" x14ac:dyDescent="0.2">
      <c r="A153">
        <v>50</v>
      </c>
      <c r="B153" t="s">
        <v>173</v>
      </c>
      <c r="I153">
        <f t="shared" si="45"/>
        <v>0</v>
      </c>
      <c r="J153" t="str">
        <f t="shared" si="46"/>
        <v/>
      </c>
      <c r="K153" t="str">
        <f t="shared" si="47"/>
        <v/>
      </c>
      <c r="L153" t="str">
        <f t="shared" si="48"/>
        <v/>
      </c>
      <c r="M153" t="str">
        <f t="shared" si="49"/>
        <v/>
      </c>
      <c r="N153" t="str">
        <f t="shared" si="51"/>
        <v/>
      </c>
      <c r="O153" t="str">
        <f t="shared" si="52"/>
        <v/>
      </c>
      <c r="P153" t="str">
        <f t="shared" si="53"/>
        <v/>
      </c>
      <c r="Q153" t="str">
        <f t="shared" si="54"/>
        <v/>
      </c>
      <c r="R153" t="str">
        <f t="shared" si="55"/>
        <v/>
      </c>
      <c r="U153" t="str">
        <f>IF(COUNTIF($A$2:$A153,$A153)=1,$A153,"")</f>
        <v/>
      </c>
    </row>
    <row r="154" spans="1:21" x14ac:dyDescent="0.2">
      <c r="A154">
        <v>51</v>
      </c>
      <c r="B154" t="s">
        <v>174</v>
      </c>
      <c r="I154">
        <f t="shared" si="45"/>
        <v>0</v>
      </c>
      <c r="J154" t="str">
        <f t="shared" si="46"/>
        <v/>
      </c>
      <c r="K154" t="str">
        <f t="shared" si="47"/>
        <v/>
      </c>
      <c r="L154" t="str">
        <f t="shared" si="48"/>
        <v/>
      </c>
      <c r="M154" t="str">
        <f t="shared" si="49"/>
        <v/>
      </c>
      <c r="N154" t="str">
        <f t="shared" si="51"/>
        <v/>
      </c>
      <c r="O154" t="str">
        <f t="shared" si="52"/>
        <v/>
      </c>
      <c r="P154" t="str">
        <f t="shared" si="53"/>
        <v/>
      </c>
      <c r="Q154" t="str">
        <f t="shared" si="54"/>
        <v/>
      </c>
      <c r="R154" t="str">
        <f t="shared" si="55"/>
        <v/>
      </c>
      <c r="U154">
        <f>IF(COUNTIF($A$2:$A154,$A154)=1,$A154,"")</f>
        <v>51</v>
      </c>
    </row>
    <row r="155" spans="1:21" x14ac:dyDescent="0.2">
      <c r="A155">
        <v>51</v>
      </c>
      <c r="B155" t="s">
        <v>175</v>
      </c>
      <c r="I155">
        <f t="shared" si="45"/>
        <v>0</v>
      </c>
      <c r="J155" t="str">
        <f t="shared" si="46"/>
        <v/>
      </c>
      <c r="K155" t="str">
        <f t="shared" si="47"/>
        <v/>
      </c>
      <c r="L155" t="str">
        <f t="shared" si="48"/>
        <v/>
      </c>
      <c r="M155" t="str">
        <f t="shared" si="49"/>
        <v/>
      </c>
      <c r="N155" t="str">
        <f t="shared" si="51"/>
        <v/>
      </c>
      <c r="O155" t="str">
        <f t="shared" si="52"/>
        <v/>
      </c>
      <c r="P155" t="str">
        <f t="shared" si="53"/>
        <v/>
      </c>
      <c r="Q155" t="str">
        <f t="shared" si="54"/>
        <v/>
      </c>
      <c r="R155" t="str">
        <f t="shared" si="55"/>
        <v/>
      </c>
      <c r="U155" t="str">
        <f>IF(COUNTIF($A$2:$A155,$A155)=1,$A155,"")</f>
        <v/>
      </c>
    </row>
    <row r="156" spans="1:21" x14ac:dyDescent="0.2">
      <c r="A156">
        <v>51</v>
      </c>
      <c r="B156" t="s">
        <v>176</v>
      </c>
      <c r="I156">
        <f t="shared" si="45"/>
        <v>0</v>
      </c>
      <c r="J156" t="str">
        <f t="shared" si="46"/>
        <v/>
      </c>
      <c r="K156" t="str">
        <f t="shared" si="47"/>
        <v/>
      </c>
      <c r="L156" t="str">
        <f t="shared" si="48"/>
        <v/>
      </c>
      <c r="M156" t="str">
        <f t="shared" si="49"/>
        <v/>
      </c>
      <c r="N156" t="str">
        <f t="shared" si="51"/>
        <v/>
      </c>
      <c r="O156" t="str">
        <f t="shared" si="52"/>
        <v/>
      </c>
      <c r="P156" t="str">
        <f t="shared" si="53"/>
        <v/>
      </c>
      <c r="Q156" t="str">
        <f t="shared" si="54"/>
        <v/>
      </c>
      <c r="R156" t="str">
        <f t="shared" si="55"/>
        <v/>
      </c>
      <c r="U156" t="str">
        <f>IF(COUNTIF($A$2:$A156,$A156)=1,$A156,"")</f>
        <v/>
      </c>
    </row>
    <row r="157" spans="1:21" x14ac:dyDescent="0.2">
      <c r="A157">
        <v>52</v>
      </c>
      <c r="B157" t="s">
        <v>177</v>
      </c>
      <c r="I157">
        <f t="shared" si="45"/>
        <v>0</v>
      </c>
      <c r="J157" t="str">
        <f t="shared" si="46"/>
        <v/>
      </c>
      <c r="K157" t="str">
        <f t="shared" si="47"/>
        <v/>
      </c>
      <c r="L157" t="str">
        <f t="shared" si="48"/>
        <v/>
      </c>
      <c r="M157" t="str">
        <f t="shared" si="49"/>
        <v/>
      </c>
      <c r="N157" t="str">
        <f t="shared" si="51"/>
        <v/>
      </c>
      <c r="O157" t="str">
        <f t="shared" si="52"/>
        <v/>
      </c>
      <c r="P157" t="str">
        <f t="shared" si="53"/>
        <v/>
      </c>
      <c r="Q157" t="str">
        <f t="shared" si="54"/>
        <v/>
      </c>
      <c r="R157" t="str">
        <f t="shared" si="55"/>
        <v/>
      </c>
      <c r="U157">
        <f>IF(COUNTIF($A$2:$A157,$A157)=1,$A157,"")</f>
        <v>52</v>
      </c>
    </row>
    <row r="158" spans="1:21" x14ac:dyDescent="0.2">
      <c r="A158">
        <v>52</v>
      </c>
      <c r="B158" t="s">
        <v>178</v>
      </c>
      <c r="I158">
        <f t="shared" si="45"/>
        <v>0</v>
      </c>
      <c r="J158" t="str">
        <f t="shared" si="46"/>
        <v/>
      </c>
      <c r="K158" t="str">
        <f t="shared" si="47"/>
        <v/>
      </c>
      <c r="L158" t="str">
        <f t="shared" si="48"/>
        <v/>
      </c>
      <c r="M158" t="str">
        <f t="shared" si="49"/>
        <v/>
      </c>
      <c r="N158" t="str">
        <f t="shared" si="51"/>
        <v/>
      </c>
      <c r="O158" t="str">
        <f t="shared" si="52"/>
        <v/>
      </c>
      <c r="P158" t="str">
        <f t="shared" si="53"/>
        <v/>
      </c>
      <c r="Q158" t="str">
        <f t="shared" si="54"/>
        <v/>
      </c>
      <c r="R158" t="str">
        <f t="shared" si="55"/>
        <v/>
      </c>
      <c r="U158" t="str">
        <f>IF(COUNTIF($A$2:$A158,$A158)=1,$A158,"")</f>
        <v/>
      </c>
    </row>
    <row r="159" spans="1:21" x14ac:dyDescent="0.2">
      <c r="A159">
        <v>52</v>
      </c>
      <c r="B159" t="s">
        <v>179</v>
      </c>
      <c r="I159">
        <f t="shared" si="45"/>
        <v>0</v>
      </c>
      <c r="J159" t="str">
        <f t="shared" si="46"/>
        <v/>
      </c>
      <c r="K159" t="str">
        <f t="shared" si="47"/>
        <v/>
      </c>
      <c r="L159" t="str">
        <f t="shared" si="48"/>
        <v/>
      </c>
      <c r="M159" t="str">
        <f t="shared" si="49"/>
        <v/>
      </c>
      <c r="N159" t="str">
        <f t="shared" si="51"/>
        <v/>
      </c>
      <c r="O159" t="str">
        <f t="shared" si="52"/>
        <v/>
      </c>
      <c r="P159" t="str">
        <f t="shared" si="53"/>
        <v/>
      </c>
      <c r="Q159" t="str">
        <f t="shared" si="54"/>
        <v/>
      </c>
      <c r="R159" t="str">
        <f t="shared" si="55"/>
        <v/>
      </c>
      <c r="U159" t="str">
        <f>IF(COUNTIF($A$2:$A159,$A159)=1,$A159,"")</f>
        <v/>
      </c>
    </row>
    <row r="160" spans="1:21" x14ac:dyDescent="0.2">
      <c r="A160">
        <v>53</v>
      </c>
      <c r="B160" t="s">
        <v>180</v>
      </c>
      <c r="I160">
        <f t="shared" si="45"/>
        <v>0</v>
      </c>
      <c r="J160" t="str">
        <f t="shared" si="46"/>
        <v/>
      </c>
      <c r="K160" t="str">
        <f t="shared" si="47"/>
        <v/>
      </c>
      <c r="L160" t="str">
        <f t="shared" si="48"/>
        <v/>
      </c>
      <c r="M160" t="str">
        <f t="shared" si="49"/>
        <v/>
      </c>
      <c r="N160" t="str">
        <f t="shared" si="51"/>
        <v/>
      </c>
      <c r="O160" t="str">
        <f t="shared" si="52"/>
        <v/>
      </c>
      <c r="P160" t="str">
        <f t="shared" si="53"/>
        <v/>
      </c>
      <c r="Q160" t="str">
        <f t="shared" si="54"/>
        <v/>
      </c>
      <c r="R160" t="str">
        <f t="shared" si="55"/>
        <v/>
      </c>
      <c r="U160">
        <f>IF(COUNTIF($A$2:$A160,$A160)=1,$A160,"")</f>
        <v>53</v>
      </c>
    </row>
    <row r="161" spans="1:21" x14ac:dyDescent="0.2">
      <c r="A161">
        <v>53</v>
      </c>
      <c r="B161" t="s">
        <v>181</v>
      </c>
      <c r="I161">
        <f t="shared" si="45"/>
        <v>0</v>
      </c>
      <c r="J161" t="str">
        <f t="shared" si="46"/>
        <v/>
      </c>
      <c r="K161" t="str">
        <f t="shared" si="47"/>
        <v/>
      </c>
      <c r="L161" t="str">
        <f t="shared" si="48"/>
        <v/>
      </c>
      <c r="M161" t="str">
        <f t="shared" si="49"/>
        <v/>
      </c>
      <c r="N161" t="str">
        <f t="shared" si="51"/>
        <v/>
      </c>
      <c r="O161" t="str">
        <f t="shared" si="52"/>
        <v/>
      </c>
      <c r="P161" t="str">
        <f t="shared" si="53"/>
        <v/>
      </c>
      <c r="Q161" t="str">
        <f t="shared" si="54"/>
        <v/>
      </c>
      <c r="R161" t="str">
        <f t="shared" si="55"/>
        <v/>
      </c>
      <c r="U161" t="str">
        <f>IF(COUNTIF($A$2:$A161,$A161)=1,$A161,"")</f>
        <v/>
      </c>
    </row>
    <row r="162" spans="1:21" x14ac:dyDescent="0.2">
      <c r="A162">
        <v>53</v>
      </c>
      <c r="B162" t="s">
        <v>182</v>
      </c>
      <c r="I162">
        <f t="shared" si="45"/>
        <v>0</v>
      </c>
      <c r="J162" t="str">
        <f t="shared" si="46"/>
        <v/>
      </c>
      <c r="K162" t="str">
        <f t="shared" si="47"/>
        <v/>
      </c>
      <c r="L162" t="str">
        <f t="shared" si="48"/>
        <v/>
      </c>
      <c r="M162" t="str">
        <f t="shared" si="49"/>
        <v/>
      </c>
      <c r="N162" t="str">
        <f t="shared" si="51"/>
        <v/>
      </c>
      <c r="O162" t="str">
        <f t="shared" si="52"/>
        <v/>
      </c>
      <c r="P162" t="str">
        <f t="shared" si="53"/>
        <v/>
      </c>
      <c r="Q162" t="str">
        <f t="shared" si="54"/>
        <v/>
      </c>
      <c r="R162" t="str">
        <f t="shared" si="55"/>
        <v/>
      </c>
      <c r="U162" t="str">
        <f>IF(COUNTIF($A$2:$A162,$A162)=1,$A162,"")</f>
        <v/>
      </c>
    </row>
    <row r="163" spans="1:21" x14ac:dyDescent="0.2">
      <c r="A163">
        <v>54</v>
      </c>
      <c r="B163" t="s">
        <v>183</v>
      </c>
      <c r="I163">
        <f t="shared" si="45"/>
        <v>0</v>
      </c>
      <c r="J163" t="str">
        <f t="shared" si="46"/>
        <v/>
      </c>
      <c r="K163" t="str">
        <f t="shared" si="47"/>
        <v/>
      </c>
      <c r="L163" t="str">
        <f t="shared" si="48"/>
        <v/>
      </c>
      <c r="M163" t="str">
        <f t="shared" si="49"/>
        <v/>
      </c>
      <c r="N163" t="str">
        <f t="shared" si="51"/>
        <v/>
      </c>
      <c r="O163" t="str">
        <f t="shared" si="52"/>
        <v/>
      </c>
      <c r="P163" t="str">
        <f t="shared" si="53"/>
        <v/>
      </c>
      <c r="Q163" t="str">
        <f t="shared" si="54"/>
        <v/>
      </c>
      <c r="R163" t="str">
        <f t="shared" si="55"/>
        <v/>
      </c>
      <c r="U163">
        <f>IF(COUNTIF($A$2:$A163,$A163)=1,$A163,"")</f>
        <v>54</v>
      </c>
    </row>
    <row r="164" spans="1:21" x14ac:dyDescent="0.2">
      <c r="A164">
        <v>54</v>
      </c>
      <c r="B164" t="s">
        <v>184</v>
      </c>
      <c r="I164">
        <f t="shared" si="45"/>
        <v>0</v>
      </c>
      <c r="J164" t="str">
        <f t="shared" si="46"/>
        <v/>
      </c>
      <c r="K164" t="str">
        <f t="shared" si="47"/>
        <v/>
      </c>
      <c r="L164" t="str">
        <f t="shared" si="48"/>
        <v/>
      </c>
      <c r="M164" t="str">
        <f t="shared" si="49"/>
        <v/>
      </c>
      <c r="N164" t="str">
        <f t="shared" si="51"/>
        <v/>
      </c>
      <c r="O164" t="str">
        <f t="shared" si="52"/>
        <v/>
      </c>
      <c r="P164" t="str">
        <f t="shared" si="53"/>
        <v/>
      </c>
      <c r="Q164" t="str">
        <f t="shared" si="54"/>
        <v/>
      </c>
      <c r="R164" t="str">
        <f t="shared" si="55"/>
        <v/>
      </c>
      <c r="U164" t="str">
        <f>IF(COUNTIF($A$2:$A164,$A164)=1,$A164,"")</f>
        <v/>
      </c>
    </row>
    <row r="165" spans="1:21" x14ac:dyDescent="0.2">
      <c r="A165">
        <v>54</v>
      </c>
      <c r="B165" t="s">
        <v>185</v>
      </c>
      <c r="I165">
        <f t="shared" si="45"/>
        <v>0</v>
      </c>
      <c r="J165" t="str">
        <f t="shared" si="46"/>
        <v/>
      </c>
      <c r="K165" t="str">
        <f t="shared" si="47"/>
        <v/>
      </c>
      <c r="L165" t="str">
        <f t="shared" si="48"/>
        <v/>
      </c>
      <c r="M165" t="str">
        <f t="shared" si="49"/>
        <v/>
      </c>
      <c r="N165" t="str">
        <f t="shared" si="51"/>
        <v/>
      </c>
      <c r="O165" t="str">
        <f t="shared" si="52"/>
        <v/>
      </c>
      <c r="P165" t="str">
        <f t="shared" si="53"/>
        <v/>
      </c>
      <c r="Q165" t="str">
        <f t="shared" si="54"/>
        <v/>
      </c>
      <c r="R165" t="str">
        <f t="shared" si="55"/>
        <v/>
      </c>
      <c r="U165" t="str">
        <f>IF(COUNTIF($A$2:$A165,$A165)=1,$A165,"")</f>
        <v/>
      </c>
    </row>
    <row r="166" spans="1:21" x14ac:dyDescent="0.2">
      <c r="A166">
        <v>55</v>
      </c>
      <c r="B166" t="s">
        <v>186</v>
      </c>
      <c r="I166">
        <f t="shared" si="45"/>
        <v>0</v>
      </c>
      <c r="J166" t="str">
        <f t="shared" si="46"/>
        <v/>
      </c>
      <c r="K166" t="str">
        <f t="shared" si="47"/>
        <v/>
      </c>
      <c r="L166" t="str">
        <f t="shared" si="48"/>
        <v/>
      </c>
      <c r="M166" t="str">
        <f t="shared" si="49"/>
        <v/>
      </c>
      <c r="N166" t="str">
        <f t="shared" si="51"/>
        <v/>
      </c>
      <c r="O166" t="str">
        <f t="shared" si="52"/>
        <v/>
      </c>
      <c r="P166" t="str">
        <f t="shared" si="53"/>
        <v/>
      </c>
      <c r="Q166" t="str">
        <f t="shared" si="54"/>
        <v/>
      </c>
      <c r="R166" t="str">
        <f t="shared" si="55"/>
        <v/>
      </c>
      <c r="U166">
        <f>IF(COUNTIF($A$2:$A166,$A166)=1,$A166,"")</f>
        <v>55</v>
      </c>
    </row>
    <row r="167" spans="1:21" x14ac:dyDescent="0.2">
      <c r="A167">
        <v>55</v>
      </c>
      <c r="B167" t="s">
        <v>187</v>
      </c>
      <c r="I167">
        <f t="shared" si="45"/>
        <v>0</v>
      </c>
      <c r="J167" t="str">
        <f t="shared" si="46"/>
        <v/>
      </c>
      <c r="K167" t="str">
        <f t="shared" si="47"/>
        <v/>
      </c>
      <c r="L167" t="str">
        <f t="shared" si="48"/>
        <v/>
      </c>
      <c r="M167" t="str">
        <f t="shared" si="49"/>
        <v/>
      </c>
      <c r="N167" t="str">
        <f t="shared" si="51"/>
        <v/>
      </c>
      <c r="O167" t="str">
        <f t="shared" si="52"/>
        <v/>
      </c>
      <c r="P167" t="str">
        <f t="shared" si="53"/>
        <v/>
      </c>
      <c r="Q167" t="str">
        <f t="shared" si="54"/>
        <v/>
      </c>
      <c r="R167" t="str">
        <f t="shared" si="55"/>
        <v/>
      </c>
      <c r="U167" t="str">
        <f>IF(COUNTIF($A$2:$A167,$A167)=1,$A167,"")</f>
        <v/>
      </c>
    </row>
    <row r="168" spans="1:21" x14ac:dyDescent="0.2">
      <c r="A168">
        <v>55</v>
      </c>
      <c r="B168" t="s">
        <v>188</v>
      </c>
      <c r="I168">
        <f t="shared" si="45"/>
        <v>0</v>
      </c>
      <c r="J168" t="str">
        <f t="shared" si="46"/>
        <v/>
      </c>
      <c r="K168" t="str">
        <f t="shared" si="47"/>
        <v/>
      </c>
      <c r="L168" t="str">
        <f t="shared" si="48"/>
        <v/>
      </c>
      <c r="M168" t="str">
        <f t="shared" si="49"/>
        <v/>
      </c>
      <c r="N168" t="str">
        <f t="shared" si="51"/>
        <v/>
      </c>
      <c r="O168" t="str">
        <f t="shared" si="52"/>
        <v/>
      </c>
      <c r="P168" t="str">
        <f t="shared" si="53"/>
        <v/>
      </c>
      <c r="Q168" t="str">
        <f t="shared" si="54"/>
        <v/>
      </c>
      <c r="R168" t="str">
        <f t="shared" si="55"/>
        <v/>
      </c>
      <c r="U168" t="str">
        <f>IF(COUNTIF($A$2:$A168,$A168)=1,$A168,"")</f>
        <v/>
      </c>
    </row>
    <row r="169" spans="1:21" x14ac:dyDescent="0.2">
      <c r="A169">
        <v>56</v>
      </c>
      <c r="B169" t="s">
        <v>189</v>
      </c>
      <c r="I169">
        <f t="shared" si="45"/>
        <v>0</v>
      </c>
      <c r="J169" t="str">
        <f t="shared" si="46"/>
        <v/>
      </c>
      <c r="K169" t="str">
        <f t="shared" si="47"/>
        <v/>
      </c>
      <c r="L169" t="str">
        <f t="shared" si="48"/>
        <v/>
      </c>
      <c r="M169" t="str">
        <f t="shared" si="49"/>
        <v/>
      </c>
      <c r="N169" t="str">
        <f t="shared" si="51"/>
        <v/>
      </c>
      <c r="O169" t="str">
        <f t="shared" si="52"/>
        <v/>
      </c>
      <c r="P169" t="str">
        <f t="shared" si="53"/>
        <v/>
      </c>
      <c r="Q169" t="str">
        <f t="shared" si="54"/>
        <v/>
      </c>
      <c r="R169" t="str">
        <f t="shared" si="55"/>
        <v/>
      </c>
      <c r="U169">
        <f>IF(COUNTIF($A$2:$A169,$A169)=1,$A169,"")</f>
        <v>56</v>
      </c>
    </row>
    <row r="170" spans="1:21" x14ac:dyDescent="0.2">
      <c r="A170">
        <v>56</v>
      </c>
      <c r="B170" t="s">
        <v>190</v>
      </c>
      <c r="I170">
        <f t="shared" si="45"/>
        <v>0</v>
      </c>
      <c r="J170" t="str">
        <f t="shared" si="46"/>
        <v/>
      </c>
      <c r="K170" t="str">
        <f t="shared" si="47"/>
        <v/>
      </c>
      <c r="L170" t="str">
        <f t="shared" si="48"/>
        <v/>
      </c>
      <c r="M170" t="str">
        <f t="shared" si="49"/>
        <v/>
      </c>
      <c r="N170" t="str">
        <f t="shared" si="51"/>
        <v/>
      </c>
      <c r="O170" t="str">
        <f t="shared" si="52"/>
        <v/>
      </c>
      <c r="P170" t="str">
        <f t="shared" si="53"/>
        <v/>
      </c>
      <c r="Q170" t="str">
        <f t="shared" si="54"/>
        <v/>
      </c>
      <c r="R170" t="str">
        <f t="shared" si="55"/>
        <v/>
      </c>
      <c r="U170" t="str">
        <f>IF(COUNTIF($A$2:$A170,$A170)=1,$A170,"")</f>
        <v/>
      </c>
    </row>
    <row r="171" spans="1:21" x14ac:dyDescent="0.2">
      <c r="A171">
        <v>56</v>
      </c>
      <c r="B171" t="s">
        <v>191</v>
      </c>
      <c r="I171">
        <f t="shared" si="45"/>
        <v>0</v>
      </c>
      <c r="J171" t="str">
        <f t="shared" si="46"/>
        <v/>
      </c>
      <c r="K171" t="str">
        <f t="shared" si="47"/>
        <v/>
      </c>
      <c r="L171" t="str">
        <f t="shared" si="48"/>
        <v/>
      </c>
      <c r="M171" t="str">
        <f t="shared" si="49"/>
        <v/>
      </c>
      <c r="N171" t="str">
        <f t="shared" si="51"/>
        <v/>
      </c>
      <c r="O171" t="str">
        <f t="shared" si="52"/>
        <v/>
      </c>
      <c r="P171" t="str">
        <f t="shared" si="53"/>
        <v/>
      </c>
      <c r="Q171" t="str">
        <f t="shared" si="54"/>
        <v/>
      </c>
      <c r="R171" t="str">
        <f t="shared" si="55"/>
        <v/>
      </c>
      <c r="U171" t="str">
        <f>IF(COUNTIF($A$2:$A171,$A171)=1,$A171,"")</f>
        <v/>
      </c>
    </row>
    <row r="172" spans="1:21" x14ac:dyDescent="0.2">
      <c r="A172">
        <v>57</v>
      </c>
      <c r="B172" t="s">
        <v>192</v>
      </c>
      <c r="I172">
        <f t="shared" si="45"/>
        <v>0</v>
      </c>
      <c r="J172" t="str">
        <f t="shared" si="46"/>
        <v/>
      </c>
      <c r="K172" t="str">
        <f t="shared" si="47"/>
        <v/>
      </c>
      <c r="L172" t="str">
        <f t="shared" si="48"/>
        <v/>
      </c>
      <c r="M172" t="str">
        <f t="shared" si="49"/>
        <v/>
      </c>
      <c r="N172" t="str">
        <f t="shared" si="51"/>
        <v/>
      </c>
      <c r="O172" t="str">
        <f t="shared" si="52"/>
        <v/>
      </c>
      <c r="P172" t="str">
        <f t="shared" si="53"/>
        <v/>
      </c>
      <c r="Q172" t="str">
        <f t="shared" si="54"/>
        <v/>
      </c>
      <c r="R172" t="str">
        <f t="shared" si="55"/>
        <v/>
      </c>
      <c r="U172">
        <f>IF(COUNTIF($A$2:$A172,$A172)=1,$A172,"")</f>
        <v>57</v>
      </c>
    </row>
    <row r="173" spans="1:21" x14ac:dyDescent="0.2">
      <c r="A173">
        <v>57</v>
      </c>
      <c r="B173" t="s">
        <v>193</v>
      </c>
      <c r="I173">
        <f t="shared" si="45"/>
        <v>0</v>
      </c>
      <c r="J173" t="str">
        <f t="shared" si="46"/>
        <v/>
      </c>
      <c r="K173" t="str">
        <f t="shared" si="47"/>
        <v/>
      </c>
      <c r="L173" t="str">
        <f t="shared" si="48"/>
        <v/>
      </c>
      <c r="M173" t="str">
        <f t="shared" si="49"/>
        <v/>
      </c>
      <c r="N173" t="str">
        <f t="shared" si="51"/>
        <v/>
      </c>
      <c r="O173" t="str">
        <f t="shared" si="52"/>
        <v/>
      </c>
      <c r="P173" t="str">
        <f t="shared" si="53"/>
        <v/>
      </c>
      <c r="Q173" t="str">
        <f t="shared" si="54"/>
        <v/>
      </c>
      <c r="R173" t="str">
        <f t="shared" si="55"/>
        <v/>
      </c>
      <c r="U173" t="str">
        <f>IF(COUNTIF($A$2:$A173,$A173)=1,$A173,"")</f>
        <v/>
      </c>
    </row>
    <row r="174" spans="1:21" x14ac:dyDescent="0.2">
      <c r="A174">
        <v>57</v>
      </c>
      <c r="B174" t="s">
        <v>194</v>
      </c>
      <c r="I174">
        <f t="shared" si="45"/>
        <v>0</v>
      </c>
      <c r="J174" t="str">
        <f t="shared" si="46"/>
        <v/>
      </c>
      <c r="K174" t="str">
        <f t="shared" si="47"/>
        <v/>
      </c>
      <c r="L174" t="str">
        <f t="shared" si="48"/>
        <v/>
      </c>
      <c r="M174" t="str">
        <f t="shared" si="49"/>
        <v/>
      </c>
      <c r="N174" t="str">
        <f t="shared" si="51"/>
        <v/>
      </c>
      <c r="O174" t="str">
        <f t="shared" si="52"/>
        <v/>
      </c>
      <c r="P174" t="str">
        <f t="shared" si="53"/>
        <v/>
      </c>
      <c r="Q174" t="str">
        <f t="shared" si="54"/>
        <v/>
      </c>
      <c r="R174" t="str">
        <f t="shared" si="55"/>
        <v/>
      </c>
      <c r="U174" t="str">
        <f>IF(COUNTIF($A$2:$A174,$A174)=1,$A174,"")</f>
        <v/>
      </c>
    </row>
    <row r="175" spans="1:21" x14ac:dyDescent="0.2">
      <c r="A175">
        <v>58</v>
      </c>
      <c r="B175" t="s">
        <v>195</v>
      </c>
      <c r="I175">
        <f t="shared" si="45"/>
        <v>0</v>
      </c>
      <c r="J175" t="str">
        <f t="shared" si="46"/>
        <v/>
      </c>
      <c r="K175" t="str">
        <f t="shared" si="47"/>
        <v/>
      </c>
      <c r="L175" t="str">
        <f t="shared" si="48"/>
        <v/>
      </c>
      <c r="M175" t="str">
        <f t="shared" si="49"/>
        <v/>
      </c>
      <c r="N175" t="str">
        <f t="shared" si="51"/>
        <v/>
      </c>
      <c r="O175" t="str">
        <f t="shared" si="52"/>
        <v/>
      </c>
      <c r="P175" t="str">
        <f t="shared" si="53"/>
        <v/>
      </c>
      <c r="Q175" t="str">
        <f t="shared" si="54"/>
        <v/>
      </c>
      <c r="R175" t="str">
        <f t="shared" si="55"/>
        <v/>
      </c>
      <c r="U175">
        <f>IF(COUNTIF($A$2:$A175,$A175)=1,$A175,"")</f>
        <v>58</v>
      </c>
    </row>
    <row r="176" spans="1:21" x14ac:dyDescent="0.2">
      <c r="A176">
        <v>58</v>
      </c>
      <c r="B176" t="s">
        <v>196</v>
      </c>
      <c r="I176">
        <f t="shared" si="45"/>
        <v>0</v>
      </c>
      <c r="J176" t="str">
        <f t="shared" si="46"/>
        <v/>
      </c>
      <c r="K176" t="str">
        <f t="shared" si="47"/>
        <v/>
      </c>
      <c r="L176" t="str">
        <f t="shared" si="48"/>
        <v/>
      </c>
      <c r="M176" t="str">
        <f t="shared" si="49"/>
        <v/>
      </c>
      <c r="N176" t="str">
        <f t="shared" si="51"/>
        <v/>
      </c>
      <c r="O176" t="str">
        <f t="shared" si="52"/>
        <v/>
      </c>
      <c r="P176" t="str">
        <f t="shared" si="53"/>
        <v/>
      </c>
      <c r="Q176" t="str">
        <f t="shared" si="54"/>
        <v/>
      </c>
      <c r="R176" t="str">
        <f t="shared" si="55"/>
        <v/>
      </c>
      <c r="U176" t="str">
        <f>IF(COUNTIF($A$2:$A176,$A176)=1,$A176,"")</f>
        <v/>
      </c>
    </row>
    <row r="177" spans="1:21" x14ac:dyDescent="0.2">
      <c r="A177">
        <v>58</v>
      </c>
      <c r="B177" t="s">
        <v>197</v>
      </c>
      <c r="I177">
        <f t="shared" si="45"/>
        <v>0</v>
      </c>
      <c r="J177" t="str">
        <f t="shared" si="46"/>
        <v/>
      </c>
      <c r="K177" t="str">
        <f t="shared" si="47"/>
        <v/>
      </c>
      <c r="L177" t="str">
        <f t="shared" si="48"/>
        <v/>
      </c>
      <c r="M177" t="str">
        <f t="shared" si="49"/>
        <v/>
      </c>
      <c r="N177" t="str">
        <f t="shared" si="51"/>
        <v/>
      </c>
      <c r="O177" t="str">
        <f t="shared" si="52"/>
        <v/>
      </c>
      <c r="P177" t="str">
        <f t="shared" si="53"/>
        <v/>
      </c>
      <c r="Q177" t="str">
        <f t="shared" si="54"/>
        <v/>
      </c>
      <c r="R177" t="str">
        <f t="shared" si="55"/>
        <v/>
      </c>
      <c r="U177" t="str">
        <f>IF(COUNTIF($A$2:$A177,$A177)=1,$A177,"")</f>
        <v/>
      </c>
    </row>
    <row r="178" spans="1:21" x14ac:dyDescent="0.2">
      <c r="A178">
        <v>59</v>
      </c>
      <c r="B178" t="s">
        <v>198</v>
      </c>
      <c r="I178">
        <f t="shared" si="45"/>
        <v>0</v>
      </c>
      <c r="J178" t="str">
        <f t="shared" si="46"/>
        <v/>
      </c>
      <c r="K178" t="str">
        <f t="shared" si="47"/>
        <v/>
      </c>
      <c r="L178" t="str">
        <f t="shared" si="48"/>
        <v/>
      </c>
      <c r="M178" t="str">
        <f t="shared" si="49"/>
        <v/>
      </c>
      <c r="N178" t="str">
        <f t="shared" si="51"/>
        <v/>
      </c>
      <c r="O178" t="str">
        <f t="shared" si="52"/>
        <v/>
      </c>
      <c r="P178" t="str">
        <f t="shared" si="53"/>
        <v/>
      </c>
      <c r="Q178" t="str">
        <f t="shared" si="54"/>
        <v/>
      </c>
      <c r="R178" t="str">
        <f t="shared" si="55"/>
        <v/>
      </c>
      <c r="U178">
        <f>IF(COUNTIF($A$2:$A178,$A178)=1,$A178,"")</f>
        <v>59</v>
      </c>
    </row>
    <row r="179" spans="1:21" x14ac:dyDescent="0.2">
      <c r="A179">
        <v>59</v>
      </c>
      <c r="B179" t="s">
        <v>199</v>
      </c>
      <c r="I179">
        <f t="shared" si="45"/>
        <v>0</v>
      </c>
      <c r="J179" t="str">
        <f t="shared" si="46"/>
        <v/>
      </c>
      <c r="K179" t="str">
        <f t="shared" si="47"/>
        <v/>
      </c>
      <c r="L179" t="str">
        <f t="shared" si="48"/>
        <v/>
      </c>
      <c r="M179" t="str">
        <f t="shared" si="49"/>
        <v/>
      </c>
      <c r="N179" t="str">
        <f t="shared" si="51"/>
        <v/>
      </c>
      <c r="O179" t="str">
        <f t="shared" si="52"/>
        <v/>
      </c>
      <c r="P179" t="str">
        <f t="shared" si="53"/>
        <v/>
      </c>
      <c r="Q179" t="str">
        <f t="shared" si="54"/>
        <v/>
      </c>
      <c r="R179" t="str">
        <f t="shared" si="55"/>
        <v/>
      </c>
      <c r="U179" t="str">
        <f>IF(COUNTIF($A$2:$A179,$A179)=1,$A179,"")</f>
        <v/>
      </c>
    </row>
    <row r="180" spans="1:21" x14ac:dyDescent="0.2">
      <c r="A180">
        <v>59</v>
      </c>
      <c r="B180" t="s">
        <v>200</v>
      </c>
      <c r="I180">
        <f t="shared" si="45"/>
        <v>0</v>
      </c>
      <c r="J180" t="str">
        <f t="shared" si="46"/>
        <v/>
      </c>
      <c r="K180" t="str">
        <f t="shared" si="47"/>
        <v/>
      </c>
      <c r="L180" t="str">
        <f t="shared" si="48"/>
        <v/>
      </c>
      <c r="M180" t="str">
        <f t="shared" si="49"/>
        <v/>
      </c>
      <c r="N180" t="str">
        <f t="shared" si="51"/>
        <v/>
      </c>
      <c r="O180" t="str">
        <f t="shared" si="52"/>
        <v/>
      </c>
      <c r="P180" t="str">
        <f t="shared" si="53"/>
        <v/>
      </c>
      <c r="Q180" t="str">
        <f t="shared" si="54"/>
        <v/>
      </c>
      <c r="R180" t="str">
        <f t="shared" si="55"/>
        <v/>
      </c>
      <c r="U180" t="str">
        <f>IF(COUNTIF($A$2:$A180,$A180)=1,$A180,"")</f>
        <v/>
      </c>
    </row>
    <row r="181" spans="1:21" x14ac:dyDescent="0.2">
      <c r="A181">
        <v>60</v>
      </c>
      <c r="B181" t="s">
        <v>201</v>
      </c>
      <c r="I181">
        <f t="shared" si="45"/>
        <v>0</v>
      </c>
      <c r="J181" t="str">
        <f t="shared" si="46"/>
        <v/>
      </c>
      <c r="K181" t="str">
        <f t="shared" si="47"/>
        <v/>
      </c>
      <c r="L181" t="str">
        <f t="shared" si="48"/>
        <v/>
      </c>
      <c r="M181" t="str">
        <f t="shared" si="49"/>
        <v/>
      </c>
      <c r="N181" t="str">
        <f t="shared" si="51"/>
        <v/>
      </c>
      <c r="O181" t="str">
        <f t="shared" si="52"/>
        <v/>
      </c>
      <c r="P181" t="str">
        <f t="shared" si="53"/>
        <v/>
      </c>
      <c r="Q181" t="str">
        <f t="shared" si="54"/>
        <v/>
      </c>
      <c r="R181" t="str">
        <f t="shared" si="55"/>
        <v/>
      </c>
      <c r="U181">
        <f>IF(COUNTIF($A$2:$A181,$A181)=1,$A181,"")</f>
        <v>60</v>
      </c>
    </row>
    <row r="182" spans="1:21" x14ac:dyDescent="0.2">
      <c r="A182">
        <v>60</v>
      </c>
      <c r="B182" t="s">
        <v>202</v>
      </c>
      <c r="I182">
        <f t="shared" si="45"/>
        <v>0</v>
      </c>
      <c r="J182" t="str">
        <f t="shared" si="46"/>
        <v/>
      </c>
      <c r="K182" t="str">
        <f t="shared" si="47"/>
        <v/>
      </c>
      <c r="L182" t="str">
        <f t="shared" si="48"/>
        <v/>
      </c>
      <c r="M182" t="str">
        <f t="shared" si="49"/>
        <v/>
      </c>
      <c r="N182" t="str">
        <f t="shared" si="51"/>
        <v/>
      </c>
      <c r="O182" t="str">
        <f t="shared" si="52"/>
        <v/>
      </c>
      <c r="P182" t="str">
        <f t="shared" si="53"/>
        <v/>
      </c>
      <c r="Q182" t="str">
        <f t="shared" si="54"/>
        <v/>
      </c>
      <c r="R182" t="str">
        <f t="shared" si="55"/>
        <v/>
      </c>
      <c r="U182" t="str">
        <f>IF(COUNTIF($A$2:$A182,$A182)=1,$A182,"")</f>
        <v/>
      </c>
    </row>
    <row r="183" spans="1:21" x14ac:dyDescent="0.2">
      <c r="A183">
        <v>60</v>
      </c>
      <c r="B183" t="s">
        <v>203</v>
      </c>
      <c r="I183">
        <f t="shared" si="45"/>
        <v>0</v>
      </c>
      <c r="J183" t="str">
        <f t="shared" si="46"/>
        <v/>
      </c>
      <c r="K183" t="str">
        <f t="shared" si="47"/>
        <v/>
      </c>
      <c r="L183" t="str">
        <f t="shared" si="48"/>
        <v/>
      </c>
      <c r="M183" t="str">
        <f t="shared" si="49"/>
        <v/>
      </c>
      <c r="N183" t="str">
        <f t="shared" si="51"/>
        <v/>
      </c>
      <c r="O183" t="str">
        <f t="shared" si="52"/>
        <v/>
      </c>
      <c r="P183" t="str">
        <f t="shared" si="53"/>
        <v/>
      </c>
      <c r="Q183" t="str">
        <f t="shared" si="54"/>
        <v/>
      </c>
      <c r="R183" t="str">
        <f t="shared" si="55"/>
        <v/>
      </c>
      <c r="U183" t="str">
        <f>IF(COUNTIF($A$2:$A183,$A183)=1,$A183,"")</f>
        <v/>
      </c>
    </row>
    <row r="184" spans="1:21" x14ac:dyDescent="0.2">
      <c r="A184">
        <v>61</v>
      </c>
      <c r="B184" t="s">
        <v>204</v>
      </c>
      <c r="I184">
        <f t="shared" si="45"/>
        <v>0</v>
      </c>
      <c r="J184" t="str">
        <f t="shared" si="46"/>
        <v/>
      </c>
      <c r="K184" t="str">
        <f t="shared" si="47"/>
        <v/>
      </c>
      <c r="L184" t="str">
        <f t="shared" si="48"/>
        <v/>
      </c>
      <c r="M184" t="str">
        <f t="shared" si="49"/>
        <v/>
      </c>
      <c r="N184" t="str">
        <f t="shared" si="51"/>
        <v/>
      </c>
      <c r="O184" t="str">
        <f t="shared" si="52"/>
        <v/>
      </c>
      <c r="P184" t="str">
        <f t="shared" si="53"/>
        <v/>
      </c>
      <c r="Q184" t="str">
        <f t="shared" si="54"/>
        <v/>
      </c>
      <c r="R184" t="str">
        <f t="shared" si="55"/>
        <v/>
      </c>
      <c r="U184">
        <f>IF(COUNTIF($A$2:$A184,$A184)=1,$A184,"")</f>
        <v>61</v>
      </c>
    </row>
    <row r="185" spans="1:21" x14ac:dyDescent="0.2">
      <c r="A185">
        <v>61</v>
      </c>
      <c r="B185" t="s">
        <v>205</v>
      </c>
      <c r="I185">
        <f t="shared" si="45"/>
        <v>0</v>
      </c>
      <c r="J185" t="str">
        <f t="shared" si="46"/>
        <v/>
      </c>
      <c r="K185" t="str">
        <f t="shared" si="47"/>
        <v/>
      </c>
      <c r="L185" t="str">
        <f t="shared" si="48"/>
        <v/>
      </c>
      <c r="M185" t="str">
        <f t="shared" si="49"/>
        <v/>
      </c>
      <c r="N185" t="str">
        <f t="shared" si="51"/>
        <v/>
      </c>
      <c r="O185" t="str">
        <f t="shared" si="52"/>
        <v/>
      </c>
      <c r="P185" t="str">
        <f t="shared" si="53"/>
        <v/>
      </c>
      <c r="Q185" t="str">
        <f t="shared" si="54"/>
        <v/>
      </c>
      <c r="R185" t="str">
        <f t="shared" si="55"/>
        <v/>
      </c>
      <c r="U185" t="str">
        <f>IF(COUNTIF($A$2:$A185,$A185)=1,$A185,"")</f>
        <v/>
      </c>
    </row>
    <row r="186" spans="1:21" x14ac:dyDescent="0.2">
      <c r="A186">
        <v>61</v>
      </c>
      <c r="B186" t="s">
        <v>206</v>
      </c>
      <c r="I186">
        <f t="shared" si="45"/>
        <v>0</v>
      </c>
      <c r="J186" t="str">
        <f t="shared" si="46"/>
        <v/>
      </c>
      <c r="K186" t="str">
        <f t="shared" si="47"/>
        <v/>
      </c>
      <c r="L186" t="str">
        <f t="shared" si="48"/>
        <v/>
      </c>
      <c r="M186" t="str">
        <f t="shared" si="49"/>
        <v/>
      </c>
      <c r="N186" t="str">
        <f t="shared" si="51"/>
        <v/>
      </c>
      <c r="O186" t="str">
        <f t="shared" si="52"/>
        <v/>
      </c>
      <c r="P186" t="str">
        <f t="shared" si="53"/>
        <v/>
      </c>
      <c r="Q186" t="str">
        <f t="shared" si="54"/>
        <v/>
      </c>
      <c r="R186" t="str">
        <f t="shared" si="55"/>
        <v/>
      </c>
      <c r="U186" t="str">
        <f>IF(COUNTIF($A$2:$A186,$A186)=1,$A186,"")</f>
        <v/>
      </c>
    </row>
    <row r="187" spans="1:21" x14ac:dyDescent="0.2">
      <c r="A187">
        <v>62</v>
      </c>
      <c r="B187" t="s">
        <v>207</v>
      </c>
      <c r="I187">
        <f t="shared" si="45"/>
        <v>0</v>
      </c>
      <c r="J187" t="str">
        <f t="shared" si="46"/>
        <v/>
      </c>
      <c r="K187" t="str">
        <f t="shared" si="47"/>
        <v/>
      </c>
      <c r="L187" t="str">
        <f t="shared" si="48"/>
        <v/>
      </c>
      <c r="M187" t="str">
        <f t="shared" si="49"/>
        <v/>
      </c>
      <c r="N187" t="str">
        <f t="shared" si="51"/>
        <v/>
      </c>
      <c r="O187" t="str">
        <f t="shared" si="52"/>
        <v/>
      </c>
      <c r="P187" t="str">
        <f t="shared" si="53"/>
        <v/>
      </c>
      <c r="Q187" t="str">
        <f t="shared" si="54"/>
        <v/>
      </c>
      <c r="R187" t="str">
        <f t="shared" si="55"/>
        <v/>
      </c>
      <c r="U187">
        <f>IF(COUNTIF($A$2:$A187,$A187)=1,$A187,"")</f>
        <v>62</v>
      </c>
    </row>
    <row r="188" spans="1:21" x14ac:dyDescent="0.2">
      <c r="A188">
        <v>62</v>
      </c>
      <c r="B188" t="s">
        <v>208</v>
      </c>
      <c r="I188">
        <f t="shared" si="45"/>
        <v>0</v>
      </c>
      <c r="J188" t="str">
        <f t="shared" si="46"/>
        <v/>
      </c>
      <c r="K188" t="str">
        <f t="shared" si="47"/>
        <v/>
      </c>
      <c r="L188" t="str">
        <f t="shared" si="48"/>
        <v/>
      </c>
      <c r="M188" t="str">
        <f t="shared" si="49"/>
        <v/>
      </c>
      <c r="N188" t="str">
        <f t="shared" si="51"/>
        <v/>
      </c>
      <c r="O188" t="str">
        <f t="shared" si="52"/>
        <v/>
      </c>
      <c r="P188" t="str">
        <f t="shared" si="53"/>
        <v/>
      </c>
      <c r="Q188" t="str">
        <f t="shared" si="54"/>
        <v/>
      </c>
      <c r="R188" t="str">
        <f t="shared" si="55"/>
        <v/>
      </c>
      <c r="U188" t="str">
        <f>IF(COUNTIF($A$2:$A188,$A188)=1,$A188,"")</f>
        <v/>
      </c>
    </row>
    <row r="189" spans="1:21" x14ac:dyDescent="0.2">
      <c r="A189">
        <v>62</v>
      </c>
      <c r="B189" t="s">
        <v>209</v>
      </c>
      <c r="I189">
        <f t="shared" si="45"/>
        <v>0</v>
      </c>
      <c r="J189" t="str">
        <f t="shared" si="46"/>
        <v/>
      </c>
      <c r="K189" t="str">
        <f t="shared" si="47"/>
        <v/>
      </c>
      <c r="L189" t="str">
        <f t="shared" si="48"/>
        <v/>
      </c>
      <c r="M189" t="str">
        <f t="shared" si="49"/>
        <v/>
      </c>
      <c r="N189" t="str">
        <f t="shared" si="51"/>
        <v/>
      </c>
      <c r="O189" t="str">
        <f t="shared" si="52"/>
        <v/>
      </c>
      <c r="P189" t="str">
        <f t="shared" si="53"/>
        <v/>
      </c>
      <c r="Q189" t="str">
        <f t="shared" si="54"/>
        <v/>
      </c>
      <c r="R189" t="str">
        <f t="shared" si="55"/>
        <v/>
      </c>
      <c r="U189" t="str">
        <f>IF(COUNTIF($A$2:$A189,$A189)=1,$A189,"")</f>
        <v/>
      </c>
    </row>
    <row r="190" spans="1:21" x14ac:dyDescent="0.2">
      <c r="A190">
        <v>63</v>
      </c>
      <c r="B190" t="s">
        <v>210</v>
      </c>
      <c r="I190">
        <f t="shared" si="45"/>
        <v>0</v>
      </c>
      <c r="J190" t="str">
        <f t="shared" si="46"/>
        <v/>
      </c>
      <c r="K190" t="str">
        <f t="shared" si="47"/>
        <v/>
      </c>
      <c r="L190" t="str">
        <f t="shared" si="48"/>
        <v/>
      </c>
      <c r="M190" t="str">
        <f t="shared" si="49"/>
        <v/>
      </c>
      <c r="N190" t="str">
        <f t="shared" si="51"/>
        <v/>
      </c>
      <c r="O190" t="str">
        <f t="shared" si="52"/>
        <v/>
      </c>
      <c r="P190" t="str">
        <f t="shared" si="53"/>
        <v/>
      </c>
      <c r="Q190" t="str">
        <f t="shared" si="54"/>
        <v/>
      </c>
      <c r="R190" t="str">
        <f t="shared" si="55"/>
        <v/>
      </c>
      <c r="U190">
        <f>IF(COUNTIF($A$2:$A190,$A190)=1,$A190,"")</f>
        <v>63</v>
      </c>
    </row>
    <row r="191" spans="1:21" x14ac:dyDescent="0.2">
      <c r="A191">
        <v>63</v>
      </c>
      <c r="B191" t="s">
        <v>211</v>
      </c>
      <c r="I191">
        <f t="shared" si="45"/>
        <v>0</v>
      </c>
      <c r="J191" t="str">
        <f t="shared" si="46"/>
        <v/>
      </c>
      <c r="K191" t="str">
        <f t="shared" si="47"/>
        <v/>
      </c>
      <c r="L191" t="str">
        <f t="shared" si="48"/>
        <v/>
      </c>
      <c r="M191" t="str">
        <f t="shared" si="49"/>
        <v/>
      </c>
      <c r="N191" t="str">
        <f t="shared" si="51"/>
        <v/>
      </c>
      <c r="O191" t="str">
        <f t="shared" si="52"/>
        <v/>
      </c>
      <c r="P191" t="str">
        <f t="shared" si="53"/>
        <v/>
      </c>
      <c r="Q191" t="str">
        <f t="shared" si="54"/>
        <v/>
      </c>
      <c r="R191" t="str">
        <f t="shared" si="55"/>
        <v/>
      </c>
      <c r="U191" t="str">
        <f>IF(COUNTIF($A$2:$A191,$A191)=1,$A191,"")</f>
        <v/>
      </c>
    </row>
    <row r="192" spans="1:21" x14ac:dyDescent="0.2">
      <c r="A192">
        <v>63</v>
      </c>
      <c r="B192" t="s">
        <v>212</v>
      </c>
      <c r="I192">
        <f t="shared" si="45"/>
        <v>0</v>
      </c>
      <c r="J192" t="str">
        <f t="shared" si="46"/>
        <v/>
      </c>
      <c r="K192" t="str">
        <f t="shared" si="47"/>
        <v/>
      </c>
      <c r="L192" t="str">
        <f t="shared" si="48"/>
        <v/>
      </c>
      <c r="M192" t="str">
        <f t="shared" si="49"/>
        <v/>
      </c>
      <c r="N192" t="str">
        <f t="shared" si="51"/>
        <v/>
      </c>
      <c r="O192" t="str">
        <f t="shared" si="52"/>
        <v/>
      </c>
      <c r="P192" t="str">
        <f t="shared" si="53"/>
        <v/>
      </c>
      <c r="Q192" t="str">
        <f t="shared" si="54"/>
        <v/>
      </c>
      <c r="R192" t="str">
        <f t="shared" si="55"/>
        <v/>
      </c>
      <c r="U192" t="str">
        <f>IF(COUNTIF($A$2:$A192,$A192)=1,$A192,"")</f>
        <v/>
      </c>
    </row>
    <row r="193" spans="1:21" x14ac:dyDescent="0.2">
      <c r="A193">
        <v>64</v>
      </c>
      <c r="B193" t="s">
        <v>213</v>
      </c>
      <c r="I193">
        <f t="shared" si="45"/>
        <v>0</v>
      </c>
      <c r="J193" t="str">
        <f t="shared" si="46"/>
        <v/>
      </c>
      <c r="K193" t="str">
        <f t="shared" si="47"/>
        <v/>
      </c>
      <c r="L193" t="str">
        <f t="shared" si="48"/>
        <v/>
      </c>
      <c r="M193" t="str">
        <f t="shared" si="49"/>
        <v/>
      </c>
      <c r="N193" t="str">
        <f t="shared" si="51"/>
        <v/>
      </c>
      <c r="O193" t="str">
        <f t="shared" si="52"/>
        <v/>
      </c>
      <c r="P193" t="str">
        <f t="shared" si="53"/>
        <v/>
      </c>
      <c r="Q193" t="str">
        <f t="shared" si="54"/>
        <v/>
      </c>
      <c r="R193" t="str">
        <f t="shared" si="55"/>
        <v/>
      </c>
      <c r="U193">
        <f>IF(COUNTIF($A$2:$A193,$A193)=1,$A193,"")</f>
        <v>64</v>
      </c>
    </row>
    <row r="194" spans="1:21" x14ac:dyDescent="0.2">
      <c r="A194">
        <v>64</v>
      </c>
      <c r="B194" t="s">
        <v>214</v>
      </c>
      <c r="I194">
        <f t="shared" ref="I194:I252" si="56">COUNTIF($A$2:$A$252,"="&amp;E194)</f>
        <v>0</v>
      </c>
      <c r="J194" t="str">
        <f t="shared" ref="J194:J253" si="57">IF($I194&gt;0,INDEX(A$2:B$349,MATCH($E194,A$2:A$349,0),2),"")</f>
        <v/>
      </c>
      <c r="K194" t="str">
        <f t="shared" ref="K194:K253" si="58">IF($I194&gt;1,INDEX(A$2:B$349,MATCH($E194,A$2:A$349,0)+1,2),"")</f>
        <v/>
      </c>
      <c r="L194" t="str">
        <f t="shared" ref="L194:L253" si="59">IF($I194&gt;2,INDEX(A$2:B$349,MATCH($E194,A$2:A$349,0)+2,2),"")</f>
        <v/>
      </c>
      <c r="M194" t="str">
        <f t="shared" ref="M194:M253" si="60">IF($I194&gt;3,INDEX(A$2:B$349,MATCH($E194,A$2:A$349,0)+3,2),"")</f>
        <v/>
      </c>
      <c r="N194" t="str">
        <f t="shared" si="51"/>
        <v/>
      </c>
      <c r="O194" t="str">
        <f t="shared" si="52"/>
        <v/>
      </c>
      <c r="P194" t="str">
        <f t="shared" si="53"/>
        <v/>
      </c>
      <c r="Q194" t="str">
        <f t="shared" si="54"/>
        <v/>
      </c>
      <c r="R194" t="str">
        <f t="shared" si="55"/>
        <v/>
      </c>
      <c r="U194" t="str">
        <f>IF(COUNTIF($A$2:$A194,$A194)=1,$A194,"")</f>
        <v/>
      </c>
    </row>
    <row r="195" spans="1:21" x14ac:dyDescent="0.2">
      <c r="A195">
        <v>64</v>
      </c>
      <c r="B195" t="s">
        <v>215</v>
      </c>
      <c r="I195">
        <f t="shared" si="56"/>
        <v>0</v>
      </c>
      <c r="J195" t="str">
        <f t="shared" si="57"/>
        <v/>
      </c>
      <c r="K195" t="str">
        <f t="shared" si="58"/>
        <v/>
      </c>
      <c r="L195" t="str">
        <f t="shared" si="59"/>
        <v/>
      </c>
      <c r="M195" t="str">
        <f t="shared" si="60"/>
        <v/>
      </c>
      <c r="N195" t="str">
        <f t="shared" si="51"/>
        <v/>
      </c>
      <c r="O195" t="str">
        <f t="shared" si="52"/>
        <v/>
      </c>
      <c r="P195" t="str">
        <f t="shared" si="53"/>
        <v/>
      </c>
      <c r="Q195" t="str">
        <f t="shared" si="54"/>
        <v/>
      </c>
      <c r="R195" t="str">
        <f t="shared" si="55"/>
        <v/>
      </c>
      <c r="U195" t="str">
        <f>IF(COUNTIF($A$2:$A195,$A195)=1,$A195,"")</f>
        <v/>
      </c>
    </row>
    <row r="196" spans="1:21" x14ac:dyDescent="0.2">
      <c r="A196">
        <v>65</v>
      </c>
      <c r="B196" t="s">
        <v>216</v>
      </c>
      <c r="I196">
        <f t="shared" si="56"/>
        <v>0</v>
      </c>
      <c r="J196" t="str">
        <f t="shared" si="57"/>
        <v/>
      </c>
      <c r="K196" t="str">
        <f t="shared" si="58"/>
        <v/>
      </c>
      <c r="L196" t="str">
        <f t="shared" si="59"/>
        <v/>
      </c>
      <c r="M196" t="str">
        <f t="shared" si="60"/>
        <v/>
      </c>
      <c r="N196" t="str">
        <f t="shared" si="51"/>
        <v/>
      </c>
      <c r="O196" t="str">
        <f t="shared" si="52"/>
        <v/>
      </c>
      <c r="P196" t="str">
        <f t="shared" si="53"/>
        <v/>
      </c>
      <c r="Q196" t="str">
        <f t="shared" si="54"/>
        <v/>
      </c>
      <c r="R196" t="str">
        <f t="shared" si="55"/>
        <v/>
      </c>
      <c r="U196">
        <f>IF(COUNTIF($A$2:$A196,$A196)=1,$A196,"")</f>
        <v>65</v>
      </c>
    </row>
    <row r="197" spans="1:21" x14ac:dyDescent="0.2">
      <c r="A197">
        <v>65</v>
      </c>
      <c r="B197" t="s">
        <v>217</v>
      </c>
      <c r="I197">
        <f t="shared" si="56"/>
        <v>0</v>
      </c>
      <c r="J197" t="str">
        <f t="shared" si="57"/>
        <v/>
      </c>
      <c r="K197" t="str">
        <f t="shared" si="58"/>
        <v/>
      </c>
      <c r="L197" t="str">
        <f t="shared" si="59"/>
        <v/>
      </c>
      <c r="M197" t="str">
        <f t="shared" si="60"/>
        <v/>
      </c>
      <c r="N197" t="str">
        <f t="shared" si="51"/>
        <v/>
      </c>
      <c r="O197" t="str">
        <f t="shared" si="52"/>
        <v/>
      </c>
      <c r="P197" t="str">
        <f t="shared" si="53"/>
        <v/>
      </c>
      <c r="Q197" t="str">
        <f t="shared" si="54"/>
        <v/>
      </c>
      <c r="R197" t="str">
        <f t="shared" si="55"/>
        <v/>
      </c>
      <c r="U197" t="str">
        <f>IF(COUNTIF($A$2:$A197,$A197)=1,$A197,"")</f>
        <v/>
      </c>
    </row>
    <row r="198" spans="1:21" x14ac:dyDescent="0.2">
      <c r="A198">
        <v>65</v>
      </c>
      <c r="B198" t="s">
        <v>218</v>
      </c>
      <c r="I198">
        <f t="shared" si="56"/>
        <v>0</v>
      </c>
      <c r="J198" t="str">
        <f t="shared" si="57"/>
        <v/>
      </c>
      <c r="K198" t="str">
        <f t="shared" si="58"/>
        <v/>
      </c>
      <c r="L198" t="str">
        <f t="shared" si="59"/>
        <v/>
      </c>
      <c r="M198" t="str">
        <f t="shared" si="60"/>
        <v/>
      </c>
      <c r="N198" t="str">
        <f t="shared" si="51"/>
        <v/>
      </c>
      <c r="O198" t="str">
        <f t="shared" si="52"/>
        <v/>
      </c>
      <c r="P198" t="str">
        <f t="shared" si="53"/>
        <v/>
      </c>
      <c r="Q198" t="str">
        <f t="shared" si="54"/>
        <v/>
      </c>
      <c r="R198" t="str">
        <f t="shared" si="55"/>
        <v/>
      </c>
      <c r="U198" t="str">
        <f>IF(COUNTIF($A$2:$A198,$A198)=1,$A198,"")</f>
        <v/>
      </c>
    </row>
    <row r="199" spans="1:21" x14ac:dyDescent="0.2">
      <c r="A199">
        <v>66</v>
      </c>
      <c r="B199" t="s">
        <v>219</v>
      </c>
      <c r="I199">
        <f t="shared" si="56"/>
        <v>0</v>
      </c>
      <c r="J199" t="str">
        <f t="shared" si="57"/>
        <v/>
      </c>
      <c r="K199" t="str">
        <f t="shared" si="58"/>
        <v/>
      </c>
      <c r="L199" t="str">
        <f t="shared" si="59"/>
        <v/>
      </c>
      <c r="M199" t="str">
        <f t="shared" si="60"/>
        <v/>
      </c>
      <c r="N199" t="str">
        <f t="shared" si="51"/>
        <v/>
      </c>
      <c r="O199" t="str">
        <f t="shared" si="52"/>
        <v/>
      </c>
      <c r="P199" t="str">
        <f t="shared" si="53"/>
        <v/>
      </c>
      <c r="Q199" t="str">
        <f t="shared" si="54"/>
        <v/>
      </c>
      <c r="R199" t="str">
        <f t="shared" si="55"/>
        <v/>
      </c>
      <c r="U199">
        <f>IF(COUNTIF($A$2:$A199,$A199)=1,$A199,"")</f>
        <v>66</v>
      </c>
    </row>
    <row r="200" spans="1:21" x14ac:dyDescent="0.2">
      <c r="A200">
        <v>66</v>
      </c>
      <c r="B200" t="s">
        <v>220</v>
      </c>
      <c r="I200">
        <f t="shared" si="56"/>
        <v>0</v>
      </c>
      <c r="J200" t="str">
        <f t="shared" si="57"/>
        <v/>
      </c>
      <c r="K200" t="str">
        <f t="shared" si="58"/>
        <v/>
      </c>
      <c r="L200" t="str">
        <f t="shared" si="59"/>
        <v/>
      </c>
      <c r="M200" t="str">
        <f t="shared" si="60"/>
        <v/>
      </c>
      <c r="N200" t="str">
        <f t="shared" si="51"/>
        <v/>
      </c>
      <c r="O200" t="str">
        <f t="shared" si="52"/>
        <v/>
      </c>
      <c r="P200" t="str">
        <f t="shared" si="53"/>
        <v/>
      </c>
      <c r="Q200" t="str">
        <f t="shared" si="54"/>
        <v/>
      </c>
      <c r="R200" t="str">
        <f t="shared" si="55"/>
        <v/>
      </c>
      <c r="U200" t="str">
        <f>IF(COUNTIF($A$2:$A200,$A200)=1,$A200,"")</f>
        <v/>
      </c>
    </row>
    <row r="201" spans="1:21" x14ac:dyDescent="0.2">
      <c r="A201">
        <v>66</v>
      </c>
      <c r="B201" t="s">
        <v>221</v>
      </c>
      <c r="I201">
        <f t="shared" si="56"/>
        <v>0</v>
      </c>
      <c r="J201" t="str">
        <f t="shared" si="57"/>
        <v/>
      </c>
      <c r="K201" t="str">
        <f t="shared" si="58"/>
        <v/>
      </c>
      <c r="L201" t="str">
        <f t="shared" si="59"/>
        <v/>
      </c>
      <c r="M201" t="str">
        <f t="shared" si="60"/>
        <v/>
      </c>
      <c r="N201" t="str">
        <f t="shared" si="51"/>
        <v/>
      </c>
      <c r="O201" t="str">
        <f t="shared" si="52"/>
        <v/>
      </c>
      <c r="P201" t="str">
        <f t="shared" si="53"/>
        <v/>
      </c>
      <c r="Q201" t="str">
        <f t="shared" si="54"/>
        <v/>
      </c>
      <c r="R201" t="str">
        <f t="shared" si="55"/>
        <v/>
      </c>
      <c r="U201" t="str">
        <f>IF(COUNTIF($A$2:$A201,$A201)=1,$A201,"")</f>
        <v/>
      </c>
    </row>
    <row r="202" spans="1:21" x14ac:dyDescent="0.2">
      <c r="A202">
        <v>67</v>
      </c>
      <c r="B202" t="s">
        <v>222</v>
      </c>
      <c r="I202">
        <f t="shared" si="56"/>
        <v>0</v>
      </c>
      <c r="J202" t="str">
        <f t="shared" si="57"/>
        <v/>
      </c>
      <c r="K202" t="str">
        <f t="shared" si="58"/>
        <v/>
      </c>
      <c r="L202" t="str">
        <f t="shared" si="59"/>
        <v/>
      </c>
      <c r="M202" t="str">
        <f t="shared" si="60"/>
        <v/>
      </c>
      <c r="N202" t="str">
        <f t="shared" si="51"/>
        <v/>
      </c>
      <c r="O202" t="str">
        <f t="shared" si="52"/>
        <v/>
      </c>
      <c r="P202" t="str">
        <f t="shared" si="53"/>
        <v/>
      </c>
      <c r="Q202" t="str">
        <f t="shared" si="54"/>
        <v/>
      </c>
      <c r="R202" t="str">
        <f t="shared" si="55"/>
        <v/>
      </c>
      <c r="U202">
        <f>IF(COUNTIF($A$2:$A202,$A202)=1,$A202,"")</f>
        <v>67</v>
      </c>
    </row>
    <row r="203" spans="1:21" x14ac:dyDescent="0.2">
      <c r="A203">
        <v>67</v>
      </c>
      <c r="B203" t="s">
        <v>223</v>
      </c>
      <c r="I203">
        <f t="shared" si="56"/>
        <v>0</v>
      </c>
      <c r="J203" t="str">
        <f t="shared" si="57"/>
        <v/>
      </c>
      <c r="K203" t="str">
        <f t="shared" si="58"/>
        <v/>
      </c>
      <c r="L203" t="str">
        <f t="shared" si="59"/>
        <v/>
      </c>
      <c r="M203" t="str">
        <f t="shared" si="60"/>
        <v/>
      </c>
      <c r="N203" t="str">
        <f t="shared" si="51"/>
        <v/>
      </c>
      <c r="O203" t="str">
        <f t="shared" si="52"/>
        <v/>
      </c>
      <c r="P203" t="str">
        <f t="shared" si="53"/>
        <v/>
      </c>
      <c r="Q203" t="str">
        <f t="shared" si="54"/>
        <v/>
      </c>
      <c r="R203" t="str">
        <f t="shared" si="55"/>
        <v/>
      </c>
      <c r="U203" t="str">
        <f>IF(COUNTIF($A$2:$A203,$A203)=1,$A203,"")</f>
        <v/>
      </c>
    </row>
    <row r="204" spans="1:21" x14ac:dyDescent="0.2">
      <c r="A204">
        <v>67</v>
      </c>
      <c r="B204" t="s">
        <v>224</v>
      </c>
      <c r="I204">
        <f t="shared" si="56"/>
        <v>0</v>
      </c>
      <c r="J204" t="str">
        <f t="shared" si="57"/>
        <v/>
      </c>
      <c r="K204" t="str">
        <f t="shared" si="58"/>
        <v/>
      </c>
      <c r="L204" t="str">
        <f t="shared" si="59"/>
        <v/>
      </c>
      <c r="M204" t="str">
        <f t="shared" si="60"/>
        <v/>
      </c>
      <c r="N204" t="str">
        <f t="shared" si="51"/>
        <v/>
      </c>
      <c r="O204" t="str">
        <f t="shared" si="52"/>
        <v/>
      </c>
      <c r="P204" t="str">
        <f t="shared" si="53"/>
        <v/>
      </c>
      <c r="Q204" t="str">
        <f t="shared" si="54"/>
        <v/>
      </c>
      <c r="R204" t="str">
        <f t="shared" si="55"/>
        <v/>
      </c>
      <c r="U204" t="str">
        <f>IF(COUNTIF($A$2:$A204,$A204)=1,$A204,"")</f>
        <v/>
      </c>
    </row>
    <row r="205" spans="1:21" x14ac:dyDescent="0.2">
      <c r="A205">
        <v>68</v>
      </c>
      <c r="B205" t="s">
        <v>225</v>
      </c>
      <c r="I205">
        <f t="shared" si="56"/>
        <v>0</v>
      </c>
      <c r="J205" t="str">
        <f t="shared" si="57"/>
        <v/>
      </c>
      <c r="K205" t="str">
        <f t="shared" si="58"/>
        <v/>
      </c>
      <c r="L205" t="str">
        <f t="shared" si="59"/>
        <v/>
      </c>
      <c r="M205" t="str">
        <f t="shared" si="60"/>
        <v/>
      </c>
      <c r="N205" t="str">
        <f t="shared" si="51"/>
        <v/>
      </c>
      <c r="O205" t="str">
        <f t="shared" si="52"/>
        <v/>
      </c>
      <c r="P205" t="str">
        <f t="shared" si="53"/>
        <v/>
      </c>
      <c r="Q205" t="str">
        <f t="shared" si="54"/>
        <v/>
      </c>
      <c r="R205" t="str">
        <f t="shared" si="55"/>
        <v/>
      </c>
      <c r="U205">
        <f>IF(COUNTIF($A$2:$A205,$A205)=1,$A205,"")</f>
        <v>68</v>
      </c>
    </row>
    <row r="206" spans="1:21" x14ac:dyDescent="0.2">
      <c r="A206">
        <v>68</v>
      </c>
      <c r="B206" t="s">
        <v>226</v>
      </c>
      <c r="I206">
        <f t="shared" si="56"/>
        <v>0</v>
      </c>
      <c r="J206" t="str">
        <f t="shared" si="57"/>
        <v/>
      </c>
      <c r="K206" t="str">
        <f t="shared" si="58"/>
        <v/>
      </c>
      <c r="L206" t="str">
        <f t="shared" si="59"/>
        <v/>
      </c>
      <c r="M206" t="str">
        <f t="shared" si="60"/>
        <v/>
      </c>
      <c r="N206" t="str">
        <f t="shared" ref="N206:N253" si="61">IF(J206&lt;&gt;"",CONCATENATE(J206,"@uwo.ca",""),"")</f>
        <v/>
      </c>
      <c r="O206" t="str">
        <f t="shared" ref="O206:O253" si="62">IF(K206&lt;&gt;"",CONCATENATE(K206,"@uwo.ca",""),"")</f>
        <v/>
      </c>
      <c r="P206" t="str">
        <f t="shared" ref="P206:P253" si="63">IF(L206&lt;&gt;"",CONCATENATE(L206,"@uwo.ca",""),"")</f>
        <v/>
      </c>
      <c r="Q206" t="str">
        <f t="shared" ref="Q206:Q253" si="64">IF(M206&lt;&gt;"",CONCATENATE(M206,"@uwo.ca",""),"")</f>
        <v/>
      </c>
      <c r="R206" t="str">
        <f t="shared" ref="R206:R253" si="65">N206&amp;IF(O206&lt;&gt;"",";"&amp;O206,"")&amp;IF(P206&lt;&gt;"",";"&amp;P206,"")&amp;IF(Q206&lt;&gt;"",";"&amp;Q206,"")</f>
        <v/>
      </c>
      <c r="U206" t="str">
        <f>IF(COUNTIF($A$2:$A206,$A206)=1,$A206,"")</f>
        <v/>
      </c>
    </row>
    <row r="207" spans="1:21" x14ac:dyDescent="0.2">
      <c r="A207">
        <v>68</v>
      </c>
      <c r="B207" t="s">
        <v>227</v>
      </c>
      <c r="I207">
        <f t="shared" si="56"/>
        <v>0</v>
      </c>
      <c r="J207" t="str">
        <f t="shared" si="57"/>
        <v/>
      </c>
      <c r="K207" t="str">
        <f t="shared" si="58"/>
        <v/>
      </c>
      <c r="L207" t="str">
        <f t="shared" si="59"/>
        <v/>
      </c>
      <c r="M207" t="str">
        <f t="shared" si="60"/>
        <v/>
      </c>
      <c r="N207" t="str">
        <f t="shared" si="61"/>
        <v/>
      </c>
      <c r="O207" t="str">
        <f t="shared" si="62"/>
        <v/>
      </c>
      <c r="P207" t="str">
        <f t="shared" si="63"/>
        <v/>
      </c>
      <c r="Q207" t="str">
        <f t="shared" si="64"/>
        <v/>
      </c>
      <c r="R207" t="str">
        <f t="shared" si="65"/>
        <v/>
      </c>
      <c r="U207" t="str">
        <f>IF(COUNTIF($A$2:$A207,$A207)=1,$A207,"")</f>
        <v/>
      </c>
    </row>
    <row r="208" spans="1:21" x14ac:dyDescent="0.2">
      <c r="A208">
        <v>69</v>
      </c>
      <c r="B208" t="s">
        <v>228</v>
      </c>
      <c r="I208">
        <f t="shared" si="56"/>
        <v>0</v>
      </c>
      <c r="J208" t="str">
        <f t="shared" si="57"/>
        <v/>
      </c>
      <c r="K208" t="str">
        <f t="shared" si="58"/>
        <v/>
      </c>
      <c r="L208" t="str">
        <f t="shared" si="59"/>
        <v/>
      </c>
      <c r="M208" t="str">
        <f t="shared" si="60"/>
        <v/>
      </c>
      <c r="N208" t="str">
        <f t="shared" si="61"/>
        <v/>
      </c>
      <c r="O208" t="str">
        <f t="shared" si="62"/>
        <v/>
      </c>
      <c r="P208" t="str">
        <f t="shared" si="63"/>
        <v/>
      </c>
      <c r="Q208" t="str">
        <f t="shared" si="64"/>
        <v/>
      </c>
      <c r="R208" t="str">
        <f t="shared" si="65"/>
        <v/>
      </c>
      <c r="U208">
        <f>IF(COUNTIF($A$2:$A208,$A208)=1,$A208,"")</f>
        <v>69</v>
      </c>
    </row>
    <row r="209" spans="1:21" x14ac:dyDescent="0.2">
      <c r="A209">
        <v>69</v>
      </c>
      <c r="B209" t="s">
        <v>229</v>
      </c>
      <c r="I209">
        <f t="shared" si="56"/>
        <v>0</v>
      </c>
      <c r="J209" t="str">
        <f t="shared" si="57"/>
        <v/>
      </c>
      <c r="K209" t="str">
        <f t="shared" si="58"/>
        <v/>
      </c>
      <c r="L209" t="str">
        <f t="shared" si="59"/>
        <v/>
      </c>
      <c r="M209" t="str">
        <f t="shared" si="60"/>
        <v/>
      </c>
      <c r="N209" t="str">
        <f t="shared" si="61"/>
        <v/>
      </c>
      <c r="O209" t="str">
        <f t="shared" si="62"/>
        <v/>
      </c>
      <c r="P209" t="str">
        <f t="shared" si="63"/>
        <v/>
      </c>
      <c r="Q209" t="str">
        <f t="shared" si="64"/>
        <v/>
      </c>
      <c r="R209" t="str">
        <f t="shared" si="65"/>
        <v/>
      </c>
      <c r="U209" t="str">
        <f>IF(COUNTIF($A$2:$A209,$A209)=1,$A209,"")</f>
        <v/>
      </c>
    </row>
    <row r="210" spans="1:21" x14ac:dyDescent="0.2">
      <c r="A210">
        <v>69</v>
      </c>
      <c r="B210" t="s">
        <v>230</v>
      </c>
      <c r="I210">
        <f t="shared" si="56"/>
        <v>0</v>
      </c>
      <c r="J210" t="str">
        <f t="shared" si="57"/>
        <v/>
      </c>
      <c r="K210" t="str">
        <f t="shared" si="58"/>
        <v/>
      </c>
      <c r="L210" t="str">
        <f t="shared" si="59"/>
        <v/>
      </c>
      <c r="M210" t="str">
        <f t="shared" si="60"/>
        <v/>
      </c>
      <c r="N210" t="str">
        <f t="shared" si="61"/>
        <v/>
      </c>
      <c r="O210" t="str">
        <f t="shared" si="62"/>
        <v/>
      </c>
      <c r="P210" t="str">
        <f t="shared" si="63"/>
        <v/>
      </c>
      <c r="Q210" t="str">
        <f t="shared" si="64"/>
        <v/>
      </c>
      <c r="R210" t="str">
        <f t="shared" si="65"/>
        <v/>
      </c>
      <c r="U210" t="str">
        <f>IF(COUNTIF($A$2:$A210,$A210)=1,$A210,"")</f>
        <v/>
      </c>
    </row>
    <row r="211" spans="1:21" x14ac:dyDescent="0.2">
      <c r="A211">
        <v>70</v>
      </c>
      <c r="B211" t="s">
        <v>231</v>
      </c>
      <c r="I211">
        <f t="shared" si="56"/>
        <v>0</v>
      </c>
      <c r="J211" t="str">
        <f t="shared" si="57"/>
        <v/>
      </c>
      <c r="K211" t="str">
        <f t="shared" si="58"/>
        <v/>
      </c>
      <c r="L211" t="str">
        <f t="shared" si="59"/>
        <v/>
      </c>
      <c r="M211" t="str">
        <f t="shared" si="60"/>
        <v/>
      </c>
      <c r="N211" t="str">
        <f t="shared" si="61"/>
        <v/>
      </c>
      <c r="O211" t="str">
        <f t="shared" si="62"/>
        <v/>
      </c>
      <c r="P211" t="str">
        <f t="shared" si="63"/>
        <v/>
      </c>
      <c r="Q211" t="str">
        <f t="shared" si="64"/>
        <v/>
      </c>
      <c r="R211" t="str">
        <f t="shared" si="65"/>
        <v/>
      </c>
      <c r="U211">
        <f>IF(COUNTIF($A$2:$A211,$A211)=1,$A211,"")</f>
        <v>70</v>
      </c>
    </row>
    <row r="212" spans="1:21" x14ac:dyDescent="0.2">
      <c r="A212">
        <v>70</v>
      </c>
      <c r="B212" t="s">
        <v>232</v>
      </c>
      <c r="I212">
        <f t="shared" si="56"/>
        <v>0</v>
      </c>
      <c r="J212" t="str">
        <f t="shared" si="57"/>
        <v/>
      </c>
      <c r="K212" t="str">
        <f t="shared" si="58"/>
        <v/>
      </c>
      <c r="L212" t="str">
        <f t="shared" si="59"/>
        <v/>
      </c>
      <c r="M212" t="str">
        <f t="shared" si="60"/>
        <v/>
      </c>
      <c r="N212" t="str">
        <f t="shared" si="61"/>
        <v/>
      </c>
      <c r="O212" t="str">
        <f t="shared" si="62"/>
        <v/>
      </c>
      <c r="P212" t="str">
        <f t="shared" si="63"/>
        <v/>
      </c>
      <c r="Q212" t="str">
        <f t="shared" si="64"/>
        <v/>
      </c>
      <c r="R212" t="str">
        <f t="shared" si="65"/>
        <v/>
      </c>
      <c r="U212" t="str">
        <f>IF(COUNTIF($A$2:$A212,$A212)=1,$A212,"")</f>
        <v/>
      </c>
    </row>
    <row r="213" spans="1:21" x14ac:dyDescent="0.2">
      <c r="A213">
        <v>70</v>
      </c>
      <c r="B213" t="s">
        <v>233</v>
      </c>
      <c r="I213">
        <f t="shared" si="56"/>
        <v>0</v>
      </c>
      <c r="J213" t="str">
        <f t="shared" si="57"/>
        <v/>
      </c>
      <c r="K213" t="str">
        <f t="shared" si="58"/>
        <v/>
      </c>
      <c r="L213" t="str">
        <f t="shared" si="59"/>
        <v/>
      </c>
      <c r="M213" t="str">
        <f t="shared" si="60"/>
        <v/>
      </c>
      <c r="N213" t="str">
        <f t="shared" si="61"/>
        <v/>
      </c>
      <c r="O213" t="str">
        <f t="shared" si="62"/>
        <v/>
      </c>
      <c r="P213" t="str">
        <f t="shared" si="63"/>
        <v/>
      </c>
      <c r="Q213" t="str">
        <f t="shared" si="64"/>
        <v/>
      </c>
      <c r="R213" t="str">
        <f t="shared" si="65"/>
        <v/>
      </c>
      <c r="U213" t="str">
        <f>IF(COUNTIF($A$2:$A213,$A213)=1,$A213,"")</f>
        <v/>
      </c>
    </row>
    <row r="214" spans="1:21" x14ac:dyDescent="0.2">
      <c r="A214">
        <v>71</v>
      </c>
      <c r="B214" t="s">
        <v>234</v>
      </c>
      <c r="I214">
        <f t="shared" si="56"/>
        <v>0</v>
      </c>
      <c r="J214" t="str">
        <f t="shared" si="57"/>
        <v/>
      </c>
      <c r="K214" t="str">
        <f t="shared" si="58"/>
        <v/>
      </c>
      <c r="L214" t="str">
        <f t="shared" si="59"/>
        <v/>
      </c>
      <c r="M214" t="str">
        <f t="shared" si="60"/>
        <v/>
      </c>
      <c r="N214" t="str">
        <f t="shared" si="61"/>
        <v/>
      </c>
      <c r="O214" t="str">
        <f t="shared" si="62"/>
        <v/>
      </c>
      <c r="P214" t="str">
        <f t="shared" si="63"/>
        <v/>
      </c>
      <c r="Q214" t="str">
        <f t="shared" si="64"/>
        <v/>
      </c>
      <c r="R214" t="str">
        <f t="shared" si="65"/>
        <v/>
      </c>
      <c r="U214">
        <f>IF(COUNTIF($A$2:$A214,$A214)=1,$A214,"")</f>
        <v>71</v>
      </c>
    </row>
    <row r="215" spans="1:21" x14ac:dyDescent="0.2">
      <c r="A215">
        <v>71</v>
      </c>
      <c r="B215" t="s">
        <v>235</v>
      </c>
      <c r="I215">
        <f t="shared" si="56"/>
        <v>0</v>
      </c>
      <c r="J215" t="str">
        <f t="shared" si="57"/>
        <v/>
      </c>
      <c r="K215" t="str">
        <f t="shared" si="58"/>
        <v/>
      </c>
      <c r="L215" t="str">
        <f t="shared" si="59"/>
        <v/>
      </c>
      <c r="M215" t="str">
        <f t="shared" si="60"/>
        <v/>
      </c>
      <c r="N215" t="str">
        <f t="shared" si="61"/>
        <v/>
      </c>
      <c r="O215" t="str">
        <f t="shared" si="62"/>
        <v/>
      </c>
      <c r="P215" t="str">
        <f t="shared" si="63"/>
        <v/>
      </c>
      <c r="Q215" t="str">
        <f t="shared" si="64"/>
        <v/>
      </c>
      <c r="R215" t="str">
        <f t="shared" si="65"/>
        <v/>
      </c>
      <c r="U215" t="str">
        <f>IF(COUNTIF($A$2:$A215,$A215)=1,$A215,"")</f>
        <v/>
      </c>
    </row>
    <row r="216" spans="1:21" x14ac:dyDescent="0.2">
      <c r="A216">
        <v>71</v>
      </c>
      <c r="B216" t="s">
        <v>236</v>
      </c>
      <c r="I216">
        <f t="shared" si="56"/>
        <v>0</v>
      </c>
      <c r="J216" t="str">
        <f t="shared" si="57"/>
        <v/>
      </c>
      <c r="K216" t="str">
        <f t="shared" si="58"/>
        <v/>
      </c>
      <c r="L216" t="str">
        <f t="shared" si="59"/>
        <v/>
      </c>
      <c r="M216" t="str">
        <f t="shared" si="60"/>
        <v/>
      </c>
      <c r="N216" t="str">
        <f t="shared" si="61"/>
        <v/>
      </c>
      <c r="O216" t="str">
        <f t="shared" si="62"/>
        <v/>
      </c>
      <c r="P216" t="str">
        <f t="shared" si="63"/>
        <v/>
      </c>
      <c r="Q216" t="str">
        <f t="shared" si="64"/>
        <v/>
      </c>
      <c r="R216" t="str">
        <f t="shared" si="65"/>
        <v/>
      </c>
      <c r="U216" t="str">
        <f>IF(COUNTIF($A$2:$A216,$A216)=1,$A216,"")</f>
        <v/>
      </c>
    </row>
    <row r="217" spans="1:21" x14ac:dyDescent="0.2">
      <c r="A217">
        <v>72</v>
      </c>
      <c r="B217" t="s">
        <v>237</v>
      </c>
      <c r="I217">
        <f t="shared" si="56"/>
        <v>0</v>
      </c>
      <c r="J217" t="str">
        <f t="shared" si="57"/>
        <v/>
      </c>
      <c r="K217" t="str">
        <f t="shared" si="58"/>
        <v/>
      </c>
      <c r="L217" t="str">
        <f t="shared" si="59"/>
        <v/>
      </c>
      <c r="M217" t="str">
        <f t="shared" si="60"/>
        <v/>
      </c>
      <c r="N217" t="str">
        <f t="shared" si="61"/>
        <v/>
      </c>
      <c r="O217" t="str">
        <f t="shared" si="62"/>
        <v/>
      </c>
      <c r="P217" t="str">
        <f t="shared" si="63"/>
        <v/>
      </c>
      <c r="Q217" t="str">
        <f t="shared" si="64"/>
        <v/>
      </c>
      <c r="R217" t="str">
        <f t="shared" si="65"/>
        <v/>
      </c>
      <c r="U217">
        <f>IF(COUNTIF($A$2:$A217,$A217)=1,$A217,"")</f>
        <v>72</v>
      </c>
    </row>
    <row r="218" spans="1:21" x14ac:dyDescent="0.2">
      <c r="A218">
        <v>72</v>
      </c>
      <c r="B218" t="s">
        <v>238</v>
      </c>
      <c r="I218">
        <f t="shared" si="56"/>
        <v>0</v>
      </c>
      <c r="J218" t="str">
        <f t="shared" si="57"/>
        <v/>
      </c>
      <c r="K218" t="str">
        <f t="shared" si="58"/>
        <v/>
      </c>
      <c r="L218" t="str">
        <f t="shared" si="59"/>
        <v/>
      </c>
      <c r="M218" t="str">
        <f t="shared" si="60"/>
        <v/>
      </c>
      <c r="N218" t="str">
        <f t="shared" si="61"/>
        <v/>
      </c>
      <c r="O218" t="str">
        <f t="shared" si="62"/>
        <v/>
      </c>
      <c r="P218" t="str">
        <f t="shared" si="63"/>
        <v/>
      </c>
      <c r="Q218" t="str">
        <f t="shared" si="64"/>
        <v/>
      </c>
      <c r="R218" t="str">
        <f t="shared" si="65"/>
        <v/>
      </c>
      <c r="U218" t="str">
        <f>IF(COUNTIF($A$2:$A218,$A218)=1,$A218,"")</f>
        <v/>
      </c>
    </row>
    <row r="219" spans="1:21" x14ac:dyDescent="0.2">
      <c r="A219">
        <v>72</v>
      </c>
      <c r="B219" t="s">
        <v>239</v>
      </c>
      <c r="I219">
        <f t="shared" si="56"/>
        <v>0</v>
      </c>
      <c r="J219" t="str">
        <f t="shared" si="57"/>
        <v/>
      </c>
      <c r="K219" t="str">
        <f t="shared" si="58"/>
        <v/>
      </c>
      <c r="L219" t="str">
        <f t="shared" si="59"/>
        <v/>
      </c>
      <c r="M219" t="str">
        <f t="shared" si="60"/>
        <v/>
      </c>
      <c r="N219" t="str">
        <f t="shared" si="61"/>
        <v/>
      </c>
      <c r="O219" t="str">
        <f t="shared" si="62"/>
        <v/>
      </c>
      <c r="P219" t="str">
        <f t="shared" si="63"/>
        <v/>
      </c>
      <c r="Q219" t="str">
        <f t="shared" si="64"/>
        <v/>
      </c>
      <c r="R219" t="str">
        <f t="shared" si="65"/>
        <v/>
      </c>
      <c r="U219" t="str">
        <f>IF(COUNTIF($A$2:$A219,$A219)=1,$A219,"")</f>
        <v/>
      </c>
    </row>
    <row r="220" spans="1:21" x14ac:dyDescent="0.2">
      <c r="A220">
        <v>73</v>
      </c>
      <c r="B220" t="s">
        <v>240</v>
      </c>
      <c r="I220">
        <f t="shared" si="56"/>
        <v>0</v>
      </c>
      <c r="J220" t="str">
        <f t="shared" si="57"/>
        <v/>
      </c>
      <c r="K220" t="str">
        <f t="shared" si="58"/>
        <v/>
      </c>
      <c r="L220" t="str">
        <f t="shared" si="59"/>
        <v/>
      </c>
      <c r="M220" t="str">
        <f t="shared" si="60"/>
        <v/>
      </c>
      <c r="N220" t="str">
        <f t="shared" si="61"/>
        <v/>
      </c>
      <c r="O220" t="str">
        <f t="shared" si="62"/>
        <v/>
      </c>
      <c r="P220" t="str">
        <f t="shared" si="63"/>
        <v/>
      </c>
      <c r="Q220" t="str">
        <f t="shared" si="64"/>
        <v/>
      </c>
      <c r="R220" t="str">
        <f t="shared" si="65"/>
        <v/>
      </c>
      <c r="U220">
        <f>IF(COUNTIF($A$2:$A220,$A220)=1,$A220,"")</f>
        <v>73</v>
      </c>
    </row>
    <row r="221" spans="1:21" x14ac:dyDescent="0.2">
      <c r="A221">
        <v>73</v>
      </c>
      <c r="B221" t="s">
        <v>241</v>
      </c>
      <c r="I221">
        <f t="shared" si="56"/>
        <v>0</v>
      </c>
      <c r="J221" t="str">
        <f t="shared" si="57"/>
        <v/>
      </c>
      <c r="K221" t="str">
        <f t="shared" si="58"/>
        <v/>
      </c>
      <c r="L221" t="str">
        <f t="shared" si="59"/>
        <v/>
      </c>
      <c r="M221" t="str">
        <f t="shared" si="60"/>
        <v/>
      </c>
      <c r="N221" t="str">
        <f t="shared" si="61"/>
        <v/>
      </c>
      <c r="O221" t="str">
        <f t="shared" si="62"/>
        <v/>
      </c>
      <c r="P221" t="str">
        <f t="shared" si="63"/>
        <v/>
      </c>
      <c r="Q221" t="str">
        <f t="shared" si="64"/>
        <v/>
      </c>
      <c r="R221" t="str">
        <f t="shared" si="65"/>
        <v/>
      </c>
      <c r="U221" t="str">
        <f>IF(COUNTIF($A$2:$A221,$A221)=1,$A221,"")</f>
        <v/>
      </c>
    </row>
    <row r="222" spans="1:21" x14ac:dyDescent="0.2">
      <c r="A222">
        <v>73</v>
      </c>
      <c r="B222" t="s">
        <v>242</v>
      </c>
      <c r="I222">
        <f t="shared" si="56"/>
        <v>0</v>
      </c>
      <c r="J222" t="str">
        <f t="shared" si="57"/>
        <v/>
      </c>
      <c r="K222" t="str">
        <f t="shared" si="58"/>
        <v/>
      </c>
      <c r="L222" t="str">
        <f t="shared" si="59"/>
        <v/>
      </c>
      <c r="M222" t="str">
        <f t="shared" si="60"/>
        <v/>
      </c>
      <c r="N222" t="str">
        <f t="shared" si="61"/>
        <v/>
      </c>
      <c r="O222" t="str">
        <f t="shared" si="62"/>
        <v/>
      </c>
      <c r="P222" t="str">
        <f t="shared" si="63"/>
        <v/>
      </c>
      <c r="Q222" t="str">
        <f t="shared" si="64"/>
        <v/>
      </c>
      <c r="R222" t="str">
        <f t="shared" si="65"/>
        <v/>
      </c>
      <c r="U222" t="str">
        <f>IF(COUNTIF($A$2:$A222,$A222)=1,$A222,"")</f>
        <v/>
      </c>
    </row>
    <row r="223" spans="1:21" x14ac:dyDescent="0.2">
      <c r="A223">
        <v>74</v>
      </c>
      <c r="B223" t="s">
        <v>243</v>
      </c>
      <c r="I223">
        <f t="shared" si="56"/>
        <v>0</v>
      </c>
      <c r="J223" t="str">
        <f t="shared" si="57"/>
        <v/>
      </c>
      <c r="K223" t="str">
        <f t="shared" si="58"/>
        <v/>
      </c>
      <c r="L223" t="str">
        <f t="shared" si="59"/>
        <v/>
      </c>
      <c r="M223" t="str">
        <f t="shared" si="60"/>
        <v/>
      </c>
      <c r="N223" t="str">
        <f t="shared" si="61"/>
        <v/>
      </c>
      <c r="O223" t="str">
        <f t="shared" si="62"/>
        <v/>
      </c>
      <c r="P223" t="str">
        <f t="shared" si="63"/>
        <v/>
      </c>
      <c r="Q223" t="str">
        <f t="shared" si="64"/>
        <v/>
      </c>
      <c r="R223" t="str">
        <f t="shared" si="65"/>
        <v/>
      </c>
      <c r="U223">
        <f>IF(COUNTIF($A$2:$A223,$A223)=1,$A223,"")</f>
        <v>74</v>
      </c>
    </row>
    <row r="224" spans="1:21" x14ac:dyDescent="0.2">
      <c r="A224">
        <v>74</v>
      </c>
      <c r="B224" t="s">
        <v>244</v>
      </c>
      <c r="I224">
        <f t="shared" si="56"/>
        <v>0</v>
      </c>
      <c r="J224" t="str">
        <f t="shared" si="57"/>
        <v/>
      </c>
      <c r="K224" t="str">
        <f t="shared" si="58"/>
        <v/>
      </c>
      <c r="L224" t="str">
        <f t="shared" si="59"/>
        <v/>
      </c>
      <c r="M224" t="str">
        <f t="shared" si="60"/>
        <v/>
      </c>
      <c r="N224" t="str">
        <f t="shared" si="61"/>
        <v/>
      </c>
      <c r="O224" t="str">
        <f t="shared" si="62"/>
        <v/>
      </c>
      <c r="P224" t="str">
        <f t="shared" si="63"/>
        <v/>
      </c>
      <c r="Q224" t="str">
        <f t="shared" si="64"/>
        <v/>
      </c>
      <c r="R224" t="str">
        <f t="shared" si="65"/>
        <v/>
      </c>
      <c r="U224" t="str">
        <f>IF(COUNTIF($A$2:$A224,$A224)=1,$A224,"")</f>
        <v/>
      </c>
    </row>
    <row r="225" spans="1:21" x14ac:dyDescent="0.2">
      <c r="A225">
        <v>74</v>
      </c>
      <c r="B225" t="s">
        <v>245</v>
      </c>
      <c r="I225">
        <f t="shared" si="56"/>
        <v>0</v>
      </c>
      <c r="J225" t="str">
        <f t="shared" si="57"/>
        <v/>
      </c>
      <c r="K225" t="str">
        <f t="shared" si="58"/>
        <v/>
      </c>
      <c r="L225" t="str">
        <f t="shared" si="59"/>
        <v/>
      </c>
      <c r="M225" t="str">
        <f t="shared" si="60"/>
        <v/>
      </c>
      <c r="N225" t="str">
        <f t="shared" si="61"/>
        <v/>
      </c>
      <c r="O225" t="str">
        <f t="shared" si="62"/>
        <v/>
      </c>
      <c r="P225" t="str">
        <f t="shared" si="63"/>
        <v/>
      </c>
      <c r="Q225" t="str">
        <f t="shared" si="64"/>
        <v/>
      </c>
      <c r="R225" t="str">
        <f t="shared" si="65"/>
        <v/>
      </c>
      <c r="U225" t="str">
        <f>IF(COUNTIF($A$2:$A225,$A225)=1,$A225,"")</f>
        <v/>
      </c>
    </row>
    <row r="226" spans="1:21" x14ac:dyDescent="0.2">
      <c r="A226">
        <v>76</v>
      </c>
      <c r="B226" t="s">
        <v>248</v>
      </c>
      <c r="I226">
        <f t="shared" si="56"/>
        <v>0</v>
      </c>
      <c r="J226" t="str">
        <f t="shared" si="57"/>
        <v/>
      </c>
      <c r="K226" t="str">
        <f t="shared" si="58"/>
        <v/>
      </c>
      <c r="L226" t="str">
        <f t="shared" si="59"/>
        <v/>
      </c>
      <c r="M226" t="str">
        <f t="shared" si="60"/>
        <v/>
      </c>
      <c r="N226" t="str">
        <f t="shared" si="61"/>
        <v/>
      </c>
      <c r="O226" t="str">
        <f t="shared" si="62"/>
        <v/>
      </c>
      <c r="P226" t="str">
        <f t="shared" si="63"/>
        <v/>
      </c>
      <c r="Q226" t="str">
        <f t="shared" si="64"/>
        <v/>
      </c>
      <c r="R226" t="str">
        <f t="shared" si="65"/>
        <v/>
      </c>
      <c r="U226">
        <f>IF(COUNTIF($A$2:$A226,$A226)=1,$A226,"")</f>
        <v>76</v>
      </c>
    </row>
    <row r="227" spans="1:21" x14ac:dyDescent="0.2">
      <c r="A227">
        <v>76</v>
      </c>
      <c r="B227" t="s">
        <v>249</v>
      </c>
      <c r="I227">
        <f t="shared" si="56"/>
        <v>0</v>
      </c>
      <c r="J227" t="str">
        <f t="shared" si="57"/>
        <v/>
      </c>
      <c r="K227" t="str">
        <f t="shared" si="58"/>
        <v/>
      </c>
      <c r="L227" t="str">
        <f t="shared" si="59"/>
        <v/>
      </c>
      <c r="M227" t="str">
        <f t="shared" si="60"/>
        <v/>
      </c>
      <c r="N227" t="str">
        <f t="shared" si="61"/>
        <v/>
      </c>
      <c r="O227" t="str">
        <f t="shared" si="62"/>
        <v/>
      </c>
      <c r="P227" t="str">
        <f t="shared" si="63"/>
        <v/>
      </c>
      <c r="Q227" t="str">
        <f t="shared" si="64"/>
        <v/>
      </c>
      <c r="R227" t="str">
        <f t="shared" si="65"/>
        <v/>
      </c>
      <c r="U227" t="str">
        <f>IF(COUNTIF($A$2:$A227,$A227)=1,$A227,"")</f>
        <v/>
      </c>
    </row>
    <row r="228" spans="1:21" x14ac:dyDescent="0.2">
      <c r="A228">
        <v>76</v>
      </c>
      <c r="B228" t="s">
        <v>250</v>
      </c>
      <c r="I228">
        <f t="shared" si="56"/>
        <v>0</v>
      </c>
      <c r="J228" t="str">
        <f t="shared" si="57"/>
        <v/>
      </c>
      <c r="K228" t="str">
        <f t="shared" si="58"/>
        <v/>
      </c>
      <c r="L228" t="str">
        <f t="shared" si="59"/>
        <v/>
      </c>
      <c r="M228" t="str">
        <f t="shared" si="60"/>
        <v/>
      </c>
      <c r="N228" t="str">
        <f t="shared" si="61"/>
        <v/>
      </c>
      <c r="O228" t="str">
        <f t="shared" si="62"/>
        <v/>
      </c>
      <c r="P228" t="str">
        <f t="shared" si="63"/>
        <v/>
      </c>
      <c r="Q228" t="str">
        <f t="shared" si="64"/>
        <v/>
      </c>
      <c r="R228" t="str">
        <f t="shared" si="65"/>
        <v/>
      </c>
      <c r="U228" t="str">
        <f>IF(COUNTIF($A$2:$A228,$A228)=1,$A228,"")</f>
        <v/>
      </c>
    </row>
    <row r="229" spans="1:21" x14ac:dyDescent="0.2">
      <c r="A229">
        <v>77</v>
      </c>
      <c r="B229" t="s">
        <v>251</v>
      </c>
      <c r="I229">
        <f t="shared" si="56"/>
        <v>0</v>
      </c>
      <c r="J229" t="str">
        <f t="shared" si="57"/>
        <v/>
      </c>
      <c r="K229" t="str">
        <f t="shared" si="58"/>
        <v/>
      </c>
      <c r="L229" t="str">
        <f t="shared" si="59"/>
        <v/>
      </c>
      <c r="M229" t="str">
        <f t="shared" si="60"/>
        <v/>
      </c>
      <c r="N229" t="str">
        <f t="shared" si="61"/>
        <v/>
      </c>
      <c r="O229" t="str">
        <f t="shared" si="62"/>
        <v/>
      </c>
      <c r="P229" t="str">
        <f t="shared" si="63"/>
        <v/>
      </c>
      <c r="Q229" t="str">
        <f t="shared" si="64"/>
        <v/>
      </c>
      <c r="R229" t="str">
        <f t="shared" si="65"/>
        <v/>
      </c>
      <c r="U229">
        <f>IF(COUNTIF($A$2:$A229,$A229)=1,$A229,"")</f>
        <v>77</v>
      </c>
    </row>
    <row r="230" spans="1:21" x14ac:dyDescent="0.2">
      <c r="A230">
        <v>77</v>
      </c>
      <c r="B230" t="s">
        <v>252</v>
      </c>
      <c r="I230">
        <f t="shared" si="56"/>
        <v>0</v>
      </c>
      <c r="J230" t="str">
        <f t="shared" si="57"/>
        <v/>
      </c>
      <c r="K230" t="str">
        <f t="shared" si="58"/>
        <v/>
      </c>
      <c r="L230" t="str">
        <f t="shared" si="59"/>
        <v/>
      </c>
      <c r="M230" t="str">
        <f t="shared" si="60"/>
        <v/>
      </c>
      <c r="N230" t="str">
        <f t="shared" si="61"/>
        <v/>
      </c>
      <c r="O230" t="str">
        <f t="shared" si="62"/>
        <v/>
      </c>
      <c r="P230" t="str">
        <f t="shared" si="63"/>
        <v/>
      </c>
      <c r="Q230" t="str">
        <f t="shared" si="64"/>
        <v/>
      </c>
      <c r="R230" t="str">
        <f t="shared" si="65"/>
        <v/>
      </c>
      <c r="U230" t="str">
        <f>IF(COUNTIF($A$2:$A230,$A230)=1,$A230,"")</f>
        <v/>
      </c>
    </row>
    <row r="231" spans="1:21" x14ac:dyDescent="0.2">
      <c r="A231">
        <v>77</v>
      </c>
      <c r="B231" t="s">
        <v>253</v>
      </c>
      <c r="I231">
        <f t="shared" si="56"/>
        <v>0</v>
      </c>
      <c r="J231" t="str">
        <f t="shared" si="57"/>
        <v/>
      </c>
      <c r="K231" t="str">
        <f t="shared" si="58"/>
        <v/>
      </c>
      <c r="L231" t="str">
        <f t="shared" si="59"/>
        <v/>
      </c>
      <c r="M231" t="str">
        <f t="shared" si="60"/>
        <v/>
      </c>
      <c r="N231" t="str">
        <f t="shared" si="61"/>
        <v/>
      </c>
      <c r="O231" t="str">
        <f t="shared" si="62"/>
        <v/>
      </c>
      <c r="P231" t="str">
        <f t="shared" si="63"/>
        <v/>
      </c>
      <c r="Q231" t="str">
        <f t="shared" si="64"/>
        <v/>
      </c>
      <c r="R231" t="str">
        <f t="shared" si="65"/>
        <v/>
      </c>
      <c r="U231" t="str">
        <f>IF(COUNTIF($A$2:$A231,$A231)=1,$A231,"")</f>
        <v/>
      </c>
    </row>
    <row r="232" spans="1:21" x14ac:dyDescent="0.2">
      <c r="A232">
        <v>78</v>
      </c>
      <c r="B232" t="s">
        <v>254</v>
      </c>
      <c r="I232">
        <f t="shared" si="56"/>
        <v>0</v>
      </c>
      <c r="J232" t="str">
        <f t="shared" si="57"/>
        <v/>
      </c>
      <c r="K232" t="str">
        <f t="shared" si="58"/>
        <v/>
      </c>
      <c r="L232" t="str">
        <f t="shared" si="59"/>
        <v/>
      </c>
      <c r="M232" t="str">
        <f t="shared" si="60"/>
        <v/>
      </c>
      <c r="N232" t="str">
        <f t="shared" si="61"/>
        <v/>
      </c>
      <c r="O232" t="str">
        <f t="shared" si="62"/>
        <v/>
      </c>
      <c r="P232" t="str">
        <f t="shared" si="63"/>
        <v/>
      </c>
      <c r="Q232" t="str">
        <f t="shared" si="64"/>
        <v/>
      </c>
      <c r="R232" t="str">
        <f t="shared" si="65"/>
        <v/>
      </c>
      <c r="U232">
        <f>IF(COUNTIF($A$2:$A232,$A232)=1,$A232,"")</f>
        <v>78</v>
      </c>
    </row>
    <row r="233" spans="1:21" x14ac:dyDescent="0.2">
      <c r="A233">
        <v>78</v>
      </c>
      <c r="B233" t="s">
        <v>255</v>
      </c>
      <c r="I233">
        <f t="shared" si="56"/>
        <v>0</v>
      </c>
      <c r="J233" t="str">
        <f t="shared" si="57"/>
        <v/>
      </c>
      <c r="K233" t="str">
        <f t="shared" si="58"/>
        <v/>
      </c>
      <c r="L233" t="str">
        <f t="shared" si="59"/>
        <v/>
      </c>
      <c r="M233" t="str">
        <f t="shared" si="60"/>
        <v/>
      </c>
      <c r="N233" t="str">
        <f t="shared" si="61"/>
        <v/>
      </c>
      <c r="O233" t="str">
        <f t="shared" si="62"/>
        <v/>
      </c>
      <c r="P233" t="str">
        <f t="shared" si="63"/>
        <v/>
      </c>
      <c r="Q233" t="str">
        <f t="shared" si="64"/>
        <v/>
      </c>
      <c r="R233" t="str">
        <f t="shared" si="65"/>
        <v/>
      </c>
      <c r="U233" t="str">
        <f>IF(COUNTIF($A$2:$A233,$A233)=1,$A233,"")</f>
        <v/>
      </c>
    </row>
    <row r="234" spans="1:21" x14ac:dyDescent="0.2">
      <c r="A234">
        <v>78</v>
      </c>
      <c r="B234" t="s">
        <v>256</v>
      </c>
      <c r="I234">
        <f t="shared" si="56"/>
        <v>0</v>
      </c>
      <c r="J234" t="str">
        <f t="shared" si="57"/>
        <v/>
      </c>
      <c r="K234" t="str">
        <f t="shared" si="58"/>
        <v/>
      </c>
      <c r="L234" t="str">
        <f t="shared" si="59"/>
        <v/>
      </c>
      <c r="M234" t="str">
        <f t="shared" si="60"/>
        <v/>
      </c>
      <c r="N234" t="str">
        <f t="shared" si="61"/>
        <v/>
      </c>
      <c r="O234" t="str">
        <f t="shared" si="62"/>
        <v/>
      </c>
      <c r="P234" t="str">
        <f t="shared" si="63"/>
        <v/>
      </c>
      <c r="Q234" t="str">
        <f t="shared" si="64"/>
        <v/>
      </c>
      <c r="R234" t="str">
        <f t="shared" si="65"/>
        <v/>
      </c>
      <c r="U234" t="str">
        <f>IF(COUNTIF($A$2:$A234,$A234)=1,$A234,"")</f>
        <v/>
      </c>
    </row>
    <row r="235" spans="1:21" x14ac:dyDescent="0.2">
      <c r="A235">
        <v>79</v>
      </c>
      <c r="B235" t="s">
        <v>257</v>
      </c>
      <c r="I235">
        <f t="shared" si="56"/>
        <v>0</v>
      </c>
      <c r="J235" t="str">
        <f t="shared" si="57"/>
        <v/>
      </c>
      <c r="K235" t="str">
        <f t="shared" si="58"/>
        <v/>
      </c>
      <c r="L235" t="str">
        <f t="shared" si="59"/>
        <v/>
      </c>
      <c r="M235" t="str">
        <f t="shared" si="60"/>
        <v/>
      </c>
      <c r="N235" t="str">
        <f t="shared" si="61"/>
        <v/>
      </c>
      <c r="O235" t="str">
        <f t="shared" si="62"/>
        <v/>
      </c>
      <c r="P235" t="str">
        <f t="shared" si="63"/>
        <v/>
      </c>
      <c r="Q235" t="str">
        <f t="shared" si="64"/>
        <v/>
      </c>
      <c r="R235" t="str">
        <f t="shared" si="65"/>
        <v/>
      </c>
      <c r="U235">
        <f>IF(COUNTIF($A$2:$A235,$A235)=1,$A235,"")</f>
        <v>79</v>
      </c>
    </row>
    <row r="236" spans="1:21" x14ac:dyDescent="0.2">
      <c r="A236">
        <v>79</v>
      </c>
      <c r="B236" t="s">
        <v>258</v>
      </c>
      <c r="I236">
        <f t="shared" si="56"/>
        <v>0</v>
      </c>
      <c r="J236" t="str">
        <f t="shared" si="57"/>
        <v/>
      </c>
      <c r="K236" t="str">
        <f t="shared" si="58"/>
        <v/>
      </c>
      <c r="L236" t="str">
        <f t="shared" si="59"/>
        <v/>
      </c>
      <c r="M236" t="str">
        <f t="shared" si="60"/>
        <v/>
      </c>
      <c r="N236" t="str">
        <f t="shared" si="61"/>
        <v/>
      </c>
      <c r="O236" t="str">
        <f t="shared" si="62"/>
        <v/>
      </c>
      <c r="P236" t="str">
        <f t="shared" si="63"/>
        <v/>
      </c>
      <c r="Q236" t="str">
        <f t="shared" si="64"/>
        <v/>
      </c>
      <c r="R236" t="str">
        <f t="shared" si="65"/>
        <v/>
      </c>
      <c r="U236" t="str">
        <f>IF(COUNTIF($A$2:$A236,$A236)=1,$A236,"")</f>
        <v/>
      </c>
    </row>
    <row r="237" spans="1:21" x14ac:dyDescent="0.2">
      <c r="A237">
        <v>79</v>
      </c>
      <c r="B237" t="s">
        <v>259</v>
      </c>
      <c r="I237">
        <f t="shared" si="56"/>
        <v>0</v>
      </c>
      <c r="J237" t="str">
        <f t="shared" si="57"/>
        <v/>
      </c>
      <c r="K237" t="str">
        <f t="shared" si="58"/>
        <v/>
      </c>
      <c r="L237" t="str">
        <f t="shared" si="59"/>
        <v/>
      </c>
      <c r="M237" t="str">
        <f t="shared" si="60"/>
        <v/>
      </c>
      <c r="N237" t="str">
        <f t="shared" si="61"/>
        <v/>
      </c>
      <c r="O237" t="str">
        <f t="shared" si="62"/>
        <v/>
      </c>
      <c r="P237" t="str">
        <f t="shared" si="63"/>
        <v/>
      </c>
      <c r="Q237" t="str">
        <f t="shared" si="64"/>
        <v/>
      </c>
      <c r="R237" t="str">
        <f t="shared" si="65"/>
        <v/>
      </c>
      <c r="U237" t="str">
        <f>IF(COUNTIF($A$2:$A237,$A237)=1,$A237,"")</f>
        <v/>
      </c>
    </row>
    <row r="238" spans="1:21" x14ac:dyDescent="0.2">
      <c r="A238">
        <v>80</v>
      </c>
      <c r="B238" t="s">
        <v>260</v>
      </c>
      <c r="I238">
        <f t="shared" si="56"/>
        <v>0</v>
      </c>
      <c r="J238" t="str">
        <f t="shared" si="57"/>
        <v/>
      </c>
      <c r="K238" t="str">
        <f t="shared" si="58"/>
        <v/>
      </c>
      <c r="L238" t="str">
        <f t="shared" si="59"/>
        <v/>
      </c>
      <c r="M238" t="str">
        <f t="shared" si="60"/>
        <v/>
      </c>
      <c r="N238" t="str">
        <f t="shared" si="61"/>
        <v/>
      </c>
      <c r="O238" t="str">
        <f t="shared" si="62"/>
        <v/>
      </c>
      <c r="P238" t="str">
        <f t="shared" si="63"/>
        <v/>
      </c>
      <c r="Q238" t="str">
        <f t="shared" si="64"/>
        <v/>
      </c>
      <c r="R238" t="str">
        <f t="shared" si="65"/>
        <v/>
      </c>
      <c r="U238">
        <f>IF(COUNTIF($A$2:$A238,$A238)=1,$A238,"")</f>
        <v>80</v>
      </c>
    </row>
    <row r="239" spans="1:21" x14ac:dyDescent="0.2">
      <c r="A239">
        <v>80</v>
      </c>
      <c r="B239" t="s">
        <v>261</v>
      </c>
      <c r="I239">
        <f t="shared" si="56"/>
        <v>0</v>
      </c>
      <c r="J239" t="str">
        <f t="shared" si="57"/>
        <v/>
      </c>
      <c r="K239" t="str">
        <f t="shared" si="58"/>
        <v/>
      </c>
      <c r="L239" t="str">
        <f t="shared" si="59"/>
        <v/>
      </c>
      <c r="M239" t="str">
        <f t="shared" si="60"/>
        <v/>
      </c>
      <c r="N239" t="str">
        <f t="shared" si="61"/>
        <v/>
      </c>
      <c r="O239" t="str">
        <f t="shared" si="62"/>
        <v/>
      </c>
      <c r="P239" t="str">
        <f t="shared" si="63"/>
        <v/>
      </c>
      <c r="Q239" t="str">
        <f t="shared" si="64"/>
        <v/>
      </c>
      <c r="R239" t="str">
        <f t="shared" si="65"/>
        <v/>
      </c>
      <c r="U239" t="str">
        <f>IF(COUNTIF($A$2:$A239,$A239)=1,$A239,"")</f>
        <v/>
      </c>
    </row>
    <row r="240" spans="1:21" x14ac:dyDescent="0.2">
      <c r="A240">
        <v>80</v>
      </c>
      <c r="B240" t="s">
        <v>262</v>
      </c>
      <c r="I240">
        <f t="shared" si="56"/>
        <v>0</v>
      </c>
      <c r="J240" t="str">
        <f t="shared" si="57"/>
        <v/>
      </c>
      <c r="K240" t="str">
        <f t="shared" si="58"/>
        <v/>
      </c>
      <c r="L240" t="str">
        <f t="shared" si="59"/>
        <v/>
      </c>
      <c r="M240" t="str">
        <f t="shared" si="60"/>
        <v/>
      </c>
      <c r="N240" t="str">
        <f t="shared" si="61"/>
        <v/>
      </c>
      <c r="O240" t="str">
        <f t="shared" si="62"/>
        <v/>
      </c>
      <c r="P240" t="str">
        <f t="shared" si="63"/>
        <v/>
      </c>
      <c r="Q240" t="str">
        <f t="shared" si="64"/>
        <v/>
      </c>
      <c r="R240" t="str">
        <f t="shared" si="65"/>
        <v/>
      </c>
      <c r="U240" t="str">
        <f>IF(COUNTIF($A$2:$A240,$A240)=1,$A240,"")</f>
        <v/>
      </c>
    </row>
    <row r="241" spans="1:21" x14ac:dyDescent="0.2">
      <c r="A241">
        <v>81</v>
      </c>
      <c r="B241" t="s">
        <v>263</v>
      </c>
      <c r="I241">
        <f t="shared" si="56"/>
        <v>0</v>
      </c>
      <c r="J241" t="str">
        <f t="shared" si="57"/>
        <v/>
      </c>
      <c r="K241" t="str">
        <f t="shared" si="58"/>
        <v/>
      </c>
      <c r="L241" t="str">
        <f t="shared" si="59"/>
        <v/>
      </c>
      <c r="M241" t="str">
        <f t="shared" si="60"/>
        <v/>
      </c>
      <c r="N241" t="str">
        <f t="shared" si="61"/>
        <v/>
      </c>
      <c r="O241" t="str">
        <f t="shared" si="62"/>
        <v/>
      </c>
      <c r="P241" t="str">
        <f t="shared" si="63"/>
        <v/>
      </c>
      <c r="Q241" t="str">
        <f t="shared" si="64"/>
        <v/>
      </c>
      <c r="R241" t="str">
        <f t="shared" si="65"/>
        <v/>
      </c>
      <c r="U241">
        <f>IF(COUNTIF($A$2:$A241,$A241)=1,$A241,"")</f>
        <v>81</v>
      </c>
    </row>
    <row r="242" spans="1:21" x14ac:dyDescent="0.2">
      <c r="A242">
        <v>81</v>
      </c>
      <c r="B242" t="s">
        <v>264</v>
      </c>
      <c r="I242">
        <f t="shared" si="56"/>
        <v>0</v>
      </c>
      <c r="J242" t="str">
        <f t="shared" si="57"/>
        <v/>
      </c>
      <c r="K242" t="str">
        <f t="shared" si="58"/>
        <v/>
      </c>
      <c r="L242" t="str">
        <f t="shared" si="59"/>
        <v/>
      </c>
      <c r="M242" t="str">
        <f t="shared" si="60"/>
        <v/>
      </c>
      <c r="N242" t="str">
        <f t="shared" si="61"/>
        <v/>
      </c>
      <c r="O242" t="str">
        <f t="shared" si="62"/>
        <v/>
      </c>
      <c r="P242" t="str">
        <f t="shared" si="63"/>
        <v/>
      </c>
      <c r="Q242" t="str">
        <f t="shared" si="64"/>
        <v/>
      </c>
      <c r="R242" t="str">
        <f t="shared" si="65"/>
        <v/>
      </c>
      <c r="U242" t="str">
        <f>IF(COUNTIF($A$2:$A242,$A242)=1,$A242,"")</f>
        <v/>
      </c>
    </row>
    <row r="243" spans="1:21" x14ac:dyDescent="0.2">
      <c r="A243">
        <v>81</v>
      </c>
      <c r="B243" t="s">
        <v>265</v>
      </c>
      <c r="I243">
        <f t="shared" si="56"/>
        <v>0</v>
      </c>
      <c r="J243" t="str">
        <f t="shared" si="57"/>
        <v/>
      </c>
      <c r="K243" t="str">
        <f t="shared" si="58"/>
        <v/>
      </c>
      <c r="L243" t="str">
        <f t="shared" si="59"/>
        <v/>
      </c>
      <c r="M243" t="str">
        <f t="shared" si="60"/>
        <v/>
      </c>
      <c r="N243" t="str">
        <f t="shared" si="61"/>
        <v/>
      </c>
      <c r="O243" t="str">
        <f t="shared" si="62"/>
        <v/>
      </c>
      <c r="P243" t="str">
        <f t="shared" si="63"/>
        <v/>
      </c>
      <c r="Q243" t="str">
        <f t="shared" si="64"/>
        <v/>
      </c>
      <c r="R243" t="str">
        <f t="shared" si="65"/>
        <v/>
      </c>
      <c r="U243" t="str">
        <f>IF(COUNTIF($A$2:$A243,$A243)=1,$A243,"")</f>
        <v/>
      </c>
    </row>
    <row r="244" spans="1:21" x14ac:dyDescent="0.2">
      <c r="A244">
        <v>82</v>
      </c>
      <c r="B244" t="s">
        <v>266</v>
      </c>
      <c r="I244">
        <f t="shared" si="56"/>
        <v>0</v>
      </c>
      <c r="J244" t="str">
        <f t="shared" si="57"/>
        <v/>
      </c>
      <c r="K244" t="str">
        <f t="shared" si="58"/>
        <v/>
      </c>
      <c r="L244" t="str">
        <f t="shared" si="59"/>
        <v/>
      </c>
      <c r="M244" t="str">
        <f t="shared" si="60"/>
        <v/>
      </c>
      <c r="N244" t="str">
        <f t="shared" si="61"/>
        <v/>
      </c>
      <c r="O244" t="str">
        <f t="shared" si="62"/>
        <v/>
      </c>
      <c r="P244" t="str">
        <f t="shared" si="63"/>
        <v/>
      </c>
      <c r="Q244" t="str">
        <f t="shared" si="64"/>
        <v/>
      </c>
      <c r="R244" t="str">
        <f t="shared" si="65"/>
        <v/>
      </c>
      <c r="U244">
        <f>IF(COUNTIF($A$2:$A244,$A244)=1,$A244,"")</f>
        <v>82</v>
      </c>
    </row>
    <row r="245" spans="1:21" x14ac:dyDescent="0.2">
      <c r="A245">
        <v>82</v>
      </c>
      <c r="B245" t="s">
        <v>267</v>
      </c>
      <c r="I245">
        <f t="shared" si="56"/>
        <v>0</v>
      </c>
      <c r="J245" t="str">
        <f t="shared" si="57"/>
        <v/>
      </c>
      <c r="K245" t="str">
        <f t="shared" si="58"/>
        <v/>
      </c>
      <c r="L245" t="str">
        <f t="shared" si="59"/>
        <v/>
      </c>
      <c r="M245" t="str">
        <f t="shared" si="60"/>
        <v/>
      </c>
      <c r="N245" t="str">
        <f t="shared" si="61"/>
        <v/>
      </c>
      <c r="O245" t="str">
        <f t="shared" si="62"/>
        <v/>
      </c>
      <c r="P245" t="str">
        <f t="shared" si="63"/>
        <v/>
      </c>
      <c r="Q245" t="str">
        <f t="shared" si="64"/>
        <v/>
      </c>
      <c r="R245" t="str">
        <f t="shared" si="65"/>
        <v/>
      </c>
      <c r="U245" t="str">
        <f>IF(COUNTIF($A$2:$A245,$A245)=1,$A245,"")</f>
        <v/>
      </c>
    </row>
    <row r="246" spans="1:21" x14ac:dyDescent="0.2">
      <c r="A246">
        <v>82</v>
      </c>
      <c r="B246" t="s">
        <v>268</v>
      </c>
      <c r="I246">
        <f t="shared" si="56"/>
        <v>0</v>
      </c>
      <c r="J246" t="str">
        <f t="shared" si="57"/>
        <v/>
      </c>
      <c r="K246" t="str">
        <f t="shared" si="58"/>
        <v/>
      </c>
      <c r="L246" t="str">
        <f t="shared" si="59"/>
        <v/>
      </c>
      <c r="M246" t="str">
        <f t="shared" si="60"/>
        <v/>
      </c>
      <c r="N246" t="str">
        <f t="shared" si="61"/>
        <v/>
      </c>
      <c r="O246" t="str">
        <f t="shared" si="62"/>
        <v/>
      </c>
      <c r="P246" t="str">
        <f t="shared" si="63"/>
        <v/>
      </c>
      <c r="Q246" t="str">
        <f t="shared" si="64"/>
        <v/>
      </c>
      <c r="R246" t="str">
        <f t="shared" si="65"/>
        <v/>
      </c>
      <c r="U246" t="str">
        <f>IF(COUNTIF($A$2:$A246,$A246)=1,$A246,"")</f>
        <v/>
      </c>
    </row>
    <row r="247" spans="1:21" x14ac:dyDescent="0.2">
      <c r="A247">
        <v>83</v>
      </c>
      <c r="B247" t="s">
        <v>269</v>
      </c>
      <c r="I247">
        <f t="shared" si="56"/>
        <v>0</v>
      </c>
      <c r="J247" t="str">
        <f t="shared" si="57"/>
        <v/>
      </c>
      <c r="K247" t="str">
        <f t="shared" si="58"/>
        <v/>
      </c>
      <c r="L247" t="str">
        <f t="shared" si="59"/>
        <v/>
      </c>
      <c r="M247" t="str">
        <f t="shared" si="60"/>
        <v/>
      </c>
      <c r="N247" t="str">
        <f t="shared" si="61"/>
        <v/>
      </c>
      <c r="O247" t="str">
        <f t="shared" si="62"/>
        <v/>
      </c>
      <c r="P247" t="str">
        <f t="shared" si="63"/>
        <v/>
      </c>
      <c r="Q247" t="str">
        <f t="shared" si="64"/>
        <v/>
      </c>
      <c r="R247" t="str">
        <f t="shared" si="65"/>
        <v/>
      </c>
      <c r="U247">
        <f>IF(COUNTIF($A$2:$A247,$A247)=1,$A247,"")</f>
        <v>83</v>
      </c>
    </row>
    <row r="248" spans="1:21" x14ac:dyDescent="0.2">
      <c r="A248">
        <v>83</v>
      </c>
      <c r="B248" t="s">
        <v>270</v>
      </c>
      <c r="I248">
        <f t="shared" si="56"/>
        <v>0</v>
      </c>
      <c r="J248" t="str">
        <f t="shared" si="57"/>
        <v/>
      </c>
      <c r="K248" t="str">
        <f t="shared" si="58"/>
        <v/>
      </c>
      <c r="L248" t="str">
        <f t="shared" si="59"/>
        <v/>
      </c>
      <c r="M248" t="str">
        <f t="shared" si="60"/>
        <v/>
      </c>
      <c r="N248" t="str">
        <f t="shared" si="61"/>
        <v/>
      </c>
      <c r="O248" t="str">
        <f t="shared" si="62"/>
        <v/>
      </c>
      <c r="P248" t="str">
        <f t="shared" si="63"/>
        <v/>
      </c>
      <c r="Q248" t="str">
        <f t="shared" si="64"/>
        <v/>
      </c>
      <c r="R248" t="str">
        <f t="shared" si="65"/>
        <v/>
      </c>
      <c r="U248" t="str">
        <f>IF(COUNTIF($A$2:$A248,$A248)=1,$A248,"")</f>
        <v/>
      </c>
    </row>
    <row r="249" spans="1:21" x14ac:dyDescent="0.2">
      <c r="A249">
        <v>83</v>
      </c>
      <c r="B249" t="s">
        <v>271</v>
      </c>
      <c r="I249">
        <f t="shared" si="56"/>
        <v>0</v>
      </c>
      <c r="J249" t="str">
        <f t="shared" si="57"/>
        <v/>
      </c>
      <c r="K249" t="str">
        <f t="shared" si="58"/>
        <v/>
      </c>
      <c r="L249" t="str">
        <f t="shared" si="59"/>
        <v/>
      </c>
      <c r="M249" t="str">
        <f t="shared" si="60"/>
        <v/>
      </c>
      <c r="N249" t="str">
        <f t="shared" si="61"/>
        <v/>
      </c>
      <c r="O249" t="str">
        <f t="shared" si="62"/>
        <v/>
      </c>
      <c r="P249" t="str">
        <f t="shared" si="63"/>
        <v/>
      </c>
      <c r="Q249" t="str">
        <f t="shared" si="64"/>
        <v/>
      </c>
      <c r="R249" t="str">
        <f t="shared" si="65"/>
        <v/>
      </c>
      <c r="U249" t="str">
        <f>IF(COUNTIF($A$2:$A249,$A249)=1,$A249,"")</f>
        <v/>
      </c>
    </row>
    <row r="250" spans="1:21" x14ac:dyDescent="0.2">
      <c r="A250">
        <v>84</v>
      </c>
      <c r="B250" t="s">
        <v>272</v>
      </c>
      <c r="I250">
        <f t="shared" si="56"/>
        <v>0</v>
      </c>
      <c r="J250" t="str">
        <f t="shared" si="57"/>
        <v/>
      </c>
      <c r="K250" t="str">
        <f t="shared" si="58"/>
        <v/>
      </c>
      <c r="L250" t="str">
        <f t="shared" si="59"/>
        <v/>
      </c>
      <c r="M250" t="str">
        <f t="shared" si="60"/>
        <v/>
      </c>
      <c r="N250" t="str">
        <f t="shared" si="61"/>
        <v/>
      </c>
      <c r="O250" t="str">
        <f t="shared" si="62"/>
        <v/>
      </c>
      <c r="P250" t="str">
        <f t="shared" si="63"/>
        <v/>
      </c>
      <c r="Q250" t="str">
        <f t="shared" si="64"/>
        <v/>
      </c>
      <c r="R250" t="str">
        <f t="shared" si="65"/>
        <v/>
      </c>
      <c r="U250">
        <f>IF(COUNTIF($A$2:$A250,$A250)=1,$A250,"")</f>
        <v>84</v>
      </c>
    </row>
    <row r="251" spans="1:21" x14ac:dyDescent="0.2">
      <c r="A251">
        <v>84</v>
      </c>
      <c r="B251" t="s">
        <v>273</v>
      </c>
      <c r="I251">
        <f t="shared" si="56"/>
        <v>0</v>
      </c>
      <c r="J251" t="str">
        <f t="shared" si="57"/>
        <v/>
      </c>
      <c r="K251" t="str">
        <f t="shared" si="58"/>
        <v/>
      </c>
      <c r="L251" t="str">
        <f t="shared" si="59"/>
        <v/>
      </c>
      <c r="M251" t="str">
        <f t="shared" si="60"/>
        <v/>
      </c>
      <c r="N251" t="str">
        <f t="shared" si="61"/>
        <v/>
      </c>
      <c r="O251" t="str">
        <f t="shared" si="62"/>
        <v/>
      </c>
      <c r="P251" t="str">
        <f t="shared" si="63"/>
        <v/>
      </c>
      <c r="Q251" t="str">
        <f t="shared" si="64"/>
        <v/>
      </c>
      <c r="R251" t="str">
        <f t="shared" si="65"/>
        <v/>
      </c>
      <c r="U251" t="str">
        <f>IF(COUNTIF($A$2:$A251,$A251)=1,$A251,"")</f>
        <v/>
      </c>
    </row>
    <row r="252" spans="1:21" x14ac:dyDescent="0.2">
      <c r="A252">
        <v>84</v>
      </c>
      <c r="B252" t="s">
        <v>274</v>
      </c>
      <c r="I252">
        <f t="shared" si="56"/>
        <v>0</v>
      </c>
      <c r="J252" t="str">
        <f t="shared" si="57"/>
        <v/>
      </c>
      <c r="K252" t="str">
        <f t="shared" si="58"/>
        <v/>
      </c>
      <c r="L252" t="str">
        <f t="shared" si="59"/>
        <v/>
      </c>
      <c r="M252" t="str">
        <f t="shared" si="60"/>
        <v/>
      </c>
      <c r="N252" t="str">
        <f t="shared" si="61"/>
        <v/>
      </c>
      <c r="O252" t="str">
        <f t="shared" si="62"/>
        <v/>
      </c>
      <c r="P252" t="str">
        <f t="shared" si="63"/>
        <v/>
      </c>
      <c r="Q252" t="str">
        <f t="shared" si="64"/>
        <v/>
      </c>
      <c r="R252" t="str">
        <f t="shared" si="65"/>
        <v/>
      </c>
      <c r="U252" t="str">
        <f>IF(COUNTIF($A$2:$A252,$A252)=1,$A252,"")</f>
        <v/>
      </c>
    </row>
    <row r="253" spans="1:21" x14ac:dyDescent="0.2">
      <c r="J253" t="str">
        <f t="shared" si="57"/>
        <v/>
      </c>
      <c r="K253" t="str">
        <f t="shared" si="58"/>
        <v/>
      </c>
      <c r="L253" t="str">
        <f t="shared" si="59"/>
        <v/>
      </c>
      <c r="M253" t="str">
        <f t="shared" si="60"/>
        <v/>
      </c>
      <c r="N253" t="str">
        <f t="shared" si="61"/>
        <v/>
      </c>
      <c r="O253" t="str">
        <f t="shared" si="62"/>
        <v/>
      </c>
      <c r="P253" t="str">
        <f t="shared" si="63"/>
        <v/>
      </c>
      <c r="Q253" t="str">
        <f t="shared" si="64"/>
        <v/>
      </c>
      <c r="R253" t="str">
        <f t="shared" si="65"/>
        <v/>
      </c>
      <c r="U253" t="str">
        <f>IF(COUNTIF($A$2:$A253,$A253)=1,$A253,"")</f>
        <v/>
      </c>
    </row>
    <row r="254" spans="1:21" x14ac:dyDescent="0.2">
      <c r="U254" t="str">
        <f>IF(COUNTIF($A$2:$A254,$A254)=1,$A254,"")</f>
        <v/>
      </c>
    </row>
    <row r="255" spans="1:21" x14ac:dyDescent="0.2">
      <c r="U255" t="str">
        <f>IF(COUNTIF($A$2:$A255,$A255)=1,$A255,"")</f>
        <v/>
      </c>
    </row>
    <row r="256" spans="1:21" x14ac:dyDescent="0.2">
      <c r="U256" t="str">
        <f>IF(COUNTIF($A$2:$A256,$A256)=1,$A256,"")</f>
        <v/>
      </c>
    </row>
    <row r="257" spans="21:21" x14ac:dyDescent="0.2">
      <c r="U257" t="str">
        <f>IF(COUNTIF($A$2:$A257,$A257)=1,$A257,"")</f>
        <v/>
      </c>
    </row>
    <row r="258" spans="21:21" x14ac:dyDescent="0.2">
      <c r="U258" t="str">
        <f>IF(COUNTIF($A$2:$A258,$A258)=1,$A258,"")</f>
        <v/>
      </c>
    </row>
    <row r="259" spans="21:21" x14ac:dyDescent="0.2">
      <c r="U259" t="str">
        <f>IF(COUNTIF($A$2:$A259,$A259)=1,$A259,"")</f>
        <v/>
      </c>
    </row>
    <row r="260" spans="21:21" x14ac:dyDescent="0.2">
      <c r="U260" t="str">
        <f>IF(COUNTIF($A$2:$A260,$A260)=1,$A260,"")</f>
        <v/>
      </c>
    </row>
    <row r="261" spans="21:21" x14ac:dyDescent="0.2">
      <c r="U261" t="str">
        <f>IF(COUNTIF($A$2:$A261,$A261)=1,$A261,"")</f>
        <v/>
      </c>
    </row>
    <row r="262" spans="21:21" x14ac:dyDescent="0.2">
      <c r="U262" t="str">
        <f>IF(COUNTIF($A$2:$A262,$A262)=1,$A262,"")</f>
        <v/>
      </c>
    </row>
    <row r="263" spans="21:21" x14ac:dyDescent="0.2">
      <c r="U263" t="str">
        <f>IF(COUNTIF($A$2:$A263,$A263)=1,$A263,"")</f>
        <v/>
      </c>
    </row>
    <row r="264" spans="21:21" x14ac:dyDescent="0.2">
      <c r="U264" t="str">
        <f>IF(COUNTIF($A$2:$A264,$A264)=1,$A264,"")</f>
        <v/>
      </c>
    </row>
    <row r="265" spans="21:21" x14ac:dyDescent="0.2">
      <c r="U265" t="str">
        <f>IF(COUNTIF($A$2:$A265,$A265)=1,$A265,"")</f>
        <v/>
      </c>
    </row>
    <row r="266" spans="21:21" x14ac:dyDescent="0.2">
      <c r="U266" t="str">
        <f>IF(COUNTIF($A$2:$A266,$A266)=1,$A266,"")</f>
        <v/>
      </c>
    </row>
    <row r="267" spans="21:21" x14ac:dyDescent="0.2">
      <c r="U267" t="str">
        <f>IF(COUNTIF($A$2:$A267,$A267)=1,$A267,"")</f>
        <v/>
      </c>
    </row>
    <row r="268" spans="21:21" x14ac:dyDescent="0.2">
      <c r="U268" t="str">
        <f>IF(COUNTIF($A$2:$A268,$A268)=1,$A268,"")</f>
        <v/>
      </c>
    </row>
    <row r="269" spans="21:21" x14ac:dyDescent="0.2">
      <c r="U269" t="str">
        <f>IF(COUNTIF($A$2:$A269,$A269)=1,$A269,"")</f>
        <v/>
      </c>
    </row>
    <row r="270" spans="21:21" x14ac:dyDescent="0.2">
      <c r="U270" t="str">
        <f>IF(COUNTIF($A$2:$A270,$A270)=1,$A270,"")</f>
        <v/>
      </c>
    </row>
    <row r="271" spans="21:21" x14ac:dyDescent="0.2">
      <c r="U271" t="str">
        <f>IF(COUNTIF($A$2:$A271,$A271)=1,$A271,"")</f>
        <v/>
      </c>
    </row>
    <row r="272" spans="21:21" x14ac:dyDescent="0.2">
      <c r="U272" t="str">
        <f>IF(COUNTIF($A$2:$A272,$A272)=1,$A272,"")</f>
        <v/>
      </c>
    </row>
    <row r="273" spans="21:21" x14ac:dyDescent="0.2">
      <c r="U273" t="str">
        <f>IF(COUNTIF($A$2:$A273,$A273)=1,$A273,"")</f>
        <v/>
      </c>
    </row>
    <row r="274" spans="21:21" x14ac:dyDescent="0.2">
      <c r="U274" t="str">
        <f>IF(COUNTIF($A$2:$A274,$A274)=1,$A274,"")</f>
        <v/>
      </c>
    </row>
    <row r="275" spans="21:21" x14ac:dyDescent="0.2">
      <c r="U275" t="str">
        <f>IF(COUNTIF($A$2:$A275,$A275)=1,$A275,"")</f>
        <v/>
      </c>
    </row>
    <row r="276" spans="21:21" x14ac:dyDescent="0.2">
      <c r="U276" t="str">
        <f>IF(COUNTIF($A$2:$A276,$A276)=1,$A276,"")</f>
        <v/>
      </c>
    </row>
    <row r="277" spans="21:21" x14ac:dyDescent="0.2">
      <c r="U277" t="str">
        <f>IF(COUNTIF($A$2:$A277,$A277)=1,$A277,"")</f>
        <v/>
      </c>
    </row>
    <row r="278" spans="21:21" x14ac:dyDescent="0.2">
      <c r="U278" t="str">
        <f>IF(COUNTIF($A$2:$A278,$A278)=1,$A278,"")</f>
        <v/>
      </c>
    </row>
    <row r="279" spans="21:21" x14ac:dyDescent="0.2">
      <c r="U279" t="str">
        <f>IF(COUNTIF($A$2:$A279,$A279)=1,$A279,"")</f>
        <v/>
      </c>
    </row>
    <row r="280" spans="21:21" x14ac:dyDescent="0.2">
      <c r="U280" t="str">
        <f>IF(COUNTIF($A$2:$A280,$A280)=1,$A280,"")</f>
        <v/>
      </c>
    </row>
    <row r="281" spans="21:21" x14ac:dyDescent="0.2">
      <c r="U281" t="str">
        <f>IF(COUNTIF($A$2:$A281,$A281)=1,$A281,"")</f>
        <v/>
      </c>
    </row>
    <row r="282" spans="21:21" x14ac:dyDescent="0.2">
      <c r="U282" t="str">
        <f>IF(COUNTIF($A$2:$A282,$A282)=1,$A282,"")</f>
        <v/>
      </c>
    </row>
    <row r="283" spans="21:21" x14ac:dyDescent="0.2">
      <c r="U283" t="str">
        <f>IF(COUNTIF($A$2:$A283,$A283)=1,$A283,"")</f>
        <v/>
      </c>
    </row>
    <row r="284" spans="21:21" x14ac:dyDescent="0.2">
      <c r="U284" t="str">
        <f>IF(COUNTIF($A$2:$A284,$A284)=1,$A284,"")</f>
        <v/>
      </c>
    </row>
    <row r="285" spans="21:21" x14ac:dyDescent="0.2">
      <c r="U285" t="str">
        <f>IF(COUNTIF($A$2:$A285,$A285)=1,$A285,"")</f>
        <v/>
      </c>
    </row>
    <row r="286" spans="21:21" x14ac:dyDescent="0.2">
      <c r="U286" t="str">
        <f>IF(COUNTIF($A$2:$A286,$A286)=1,$A286,"")</f>
        <v/>
      </c>
    </row>
    <row r="287" spans="21:21" x14ac:dyDescent="0.2">
      <c r="U287" t="str">
        <f>IF(COUNTIF($A$2:$A287,$A287)=1,$A287,"")</f>
        <v/>
      </c>
    </row>
    <row r="288" spans="21:21" x14ac:dyDescent="0.2">
      <c r="U288" t="str">
        <f>IF(COUNTIF($A$2:$A288,$A288)=1,$A288,"")</f>
        <v/>
      </c>
    </row>
    <row r="289" spans="21:21" x14ac:dyDescent="0.2">
      <c r="U289" t="str">
        <f>IF(COUNTIF($A$2:$A289,$A289)=1,$A289,"")</f>
        <v/>
      </c>
    </row>
    <row r="290" spans="21:21" x14ac:dyDescent="0.2">
      <c r="U290" t="str">
        <f>IF(COUNTIF($A$2:$A290,$A290)=1,$A290,"")</f>
        <v/>
      </c>
    </row>
    <row r="291" spans="21:21" x14ac:dyDescent="0.2">
      <c r="U291" t="str">
        <f>IF(COUNTIF($A$2:$A291,$A291)=1,$A291,"")</f>
        <v/>
      </c>
    </row>
    <row r="292" spans="21:21" x14ac:dyDescent="0.2">
      <c r="U292" t="str">
        <f>IF(COUNTIF($A$2:$A292,$A292)=1,$A292,"")</f>
        <v/>
      </c>
    </row>
    <row r="293" spans="21:21" x14ac:dyDescent="0.2">
      <c r="U293" t="str">
        <f>IF(COUNTIF($A$2:$A293,$A293)=1,$A293,"")</f>
        <v/>
      </c>
    </row>
    <row r="294" spans="21:21" x14ac:dyDescent="0.2">
      <c r="U294" t="str">
        <f>IF(COUNTIF($A$2:$A294,$A294)=1,$A294,"")</f>
        <v/>
      </c>
    </row>
    <row r="295" spans="21:21" x14ac:dyDescent="0.2">
      <c r="U295" t="str">
        <f>IF(COUNTIF($A$2:$A295,$A295)=1,$A295,"")</f>
        <v/>
      </c>
    </row>
    <row r="296" spans="21:21" x14ac:dyDescent="0.2">
      <c r="U296" t="str">
        <f>IF(COUNTIF($A$2:$A296,$A296)=1,$A296,"")</f>
        <v/>
      </c>
    </row>
    <row r="297" spans="21:21" x14ac:dyDescent="0.2">
      <c r="U297" t="str">
        <f>IF(COUNTIF($A$2:$A297,$A297)=1,$A297,"")</f>
        <v/>
      </c>
    </row>
    <row r="298" spans="21:21" x14ac:dyDescent="0.2">
      <c r="U298" t="str">
        <f>IF(COUNTIF($A$2:$A298,$A298)=1,$A298,"")</f>
        <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4"/>
  <sheetViews>
    <sheetView tabSelected="1" workbookViewId="0">
      <selection activeCell="O4" sqref="O4"/>
    </sheetView>
  </sheetViews>
  <sheetFormatPr baseColWidth="10" defaultColWidth="9.1640625" defaultRowHeight="15" x14ac:dyDescent="0.2"/>
  <cols>
    <col min="1" max="1" width="23" style="9" customWidth="1"/>
    <col min="2" max="2" width="17.5" style="9" customWidth="1"/>
    <col min="3" max="3" width="51.6640625" style="9" customWidth="1"/>
    <col min="4" max="4" width="33.83203125" style="9" customWidth="1"/>
    <col min="5" max="5" width="11.5" style="9" hidden="1" customWidth="1"/>
    <col min="6" max="6" width="7.5" style="9" hidden="1" customWidth="1"/>
    <col min="7" max="7" width="10.5" style="9" hidden="1" customWidth="1"/>
    <col min="8" max="8" width="7.83203125" style="9" hidden="1" customWidth="1"/>
    <col min="9" max="9" width="10.33203125" style="9" hidden="1" customWidth="1"/>
    <col min="10" max="10" width="7.6640625" style="9" hidden="1" customWidth="1"/>
    <col min="11" max="11" width="10.1640625" style="9" hidden="1" customWidth="1"/>
    <col min="12" max="12" width="8.1640625" style="9" hidden="1" customWidth="1"/>
    <col min="13" max="13" width="18.83203125" style="9" customWidth="1"/>
    <col min="14" max="14" width="22.83203125" style="9" customWidth="1"/>
    <col min="15" max="15" width="26.83203125" style="9" customWidth="1"/>
    <col min="16" max="16" width="19" style="9" customWidth="1"/>
    <col min="17" max="17" width="18.5" style="9" customWidth="1"/>
    <col min="18" max="18" width="24" style="9" customWidth="1"/>
    <col min="19" max="19" width="17.1640625" style="2" customWidth="1"/>
    <col min="20" max="20" width="12.5" style="2" customWidth="1"/>
    <col min="21" max="22" width="9.1640625" style="2"/>
    <col min="23" max="16384" width="9.1640625" style="9"/>
  </cols>
  <sheetData>
    <row r="1" spans="1:20" s="2" customFormat="1" ht="33" customHeight="1" x14ac:dyDescent="0.45">
      <c r="A1" s="15" t="s">
        <v>293</v>
      </c>
    </row>
    <row r="2" spans="1:20" s="2" customFormat="1" ht="166.5" customHeight="1" x14ac:dyDescent="0.3">
      <c r="A2" s="16" t="s">
        <v>277</v>
      </c>
      <c r="B2" s="17" t="s">
        <v>4</v>
      </c>
      <c r="C2" s="17" t="s">
        <v>23</v>
      </c>
      <c r="D2" s="8" t="s">
        <v>15</v>
      </c>
      <c r="E2" s="17" t="s">
        <v>9</v>
      </c>
      <c r="F2" s="5" t="s">
        <v>14</v>
      </c>
      <c r="G2" s="17" t="s">
        <v>10</v>
      </c>
      <c r="H2" s="5" t="s">
        <v>14</v>
      </c>
      <c r="I2" s="17" t="s">
        <v>11</v>
      </c>
      <c r="J2" s="5" t="s">
        <v>14</v>
      </c>
      <c r="K2" s="17" t="s">
        <v>12</v>
      </c>
      <c r="L2" s="5" t="s">
        <v>14</v>
      </c>
      <c r="M2" s="25" t="s">
        <v>278</v>
      </c>
      <c r="N2" s="24" t="s">
        <v>280</v>
      </c>
      <c r="O2" s="18" t="s">
        <v>281</v>
      </c>
      <c r="P2" s="26" t="s">
        <v>286</v>
      </c>
      <c r="Q2" s="26"/>
      <c r="R2" s="18" t="s">
        <v>287</v>
      </c>
      <c r="S2" s="27" t="s">
        <v>16</v>
      </c>
      <c r="T2" s="27"/>
    </row>
    <row r="3" spans="1:20" ht="119" x14ac:dyDescent="0.55000000000000004">
      <c r="A3" s="10">
        <v>54</v>
      </c>
      <c r="B3" s="19">
        <f>VLOOKUP(A3,users!E$2:F$100,2,FALSE)</f>
        <v>56</v>
      </c>
      <c r="C3" s="11" t="str">
        <f>HYPERLINK("mailto:" &amp; VLOOKUP((VLOOKUP(A3,users!$E$2:$R$100,4,FALSE)),users!$E$2:$R$100,14,FALSE) &amp; "?subject=Databases Flipped Classroom", "Click here to email your answers.pdf file to the group marking you, remember to attach it!")</f>
        <v>Click here to email your answers.pdf file to the group marking you, remember to attach it!</v>
      </c>
      <c r="D3" s="12" t="s">
        <v>2</v>
      </c>
      <c r="E3" s="2" t="str">
        <f>VLOOKUP(B3,users!$E$2:$M$85, 6,FALSE)</f>
        <v>lgrabics</v>
      </c>
      <c r="F3" s="13" t="s">
        <v>2</v>
      </c>
      <c r="G3" s="2" t="str">
        <f>VLOOKUP(B3,users!$E$2:$M$85, 7,FALSE)</f>
        <v>khaugen</v>
      </c>
      <c r="H3" s="13" t="s">
        <v>2</v>
      </c>
      <c r="I3" s="2" t="str">
        <f>VLOOKUP(B3,users!$E$2:$M$85, 8,FALSE)</f>
        <v>jmontfo</v>
      </c>
      <c r="J3" s="13" t="s">
        <v>2</v>
      </c>
      <c r="K3" s="2" t="str">
        <f>VLOOKUP(B3,users!$E$2:$M$85, 9,FALSE)</f>
        <v/>
      </c>
      <c r="L3" s="13" t="s">
        <v>2</v>
      </c>
      <c r="M3" s="18" t="s">
        <v>279</v>
      </c>
      <c r="N3" s="20" t="s">
        <v>283</v>
      </c>
      <c r="O3" s="18" t="s">
        <v>282</v>
      </c>
      <c r="P3" s="20" t="s">
        <v>285</v>
      </c>
      <c r="Q3" s="20" t="s">
        <v>284</v>
      </c>
      <c r="R3" s="18" t="s">
        <v>288</v>
      </c>
      <c r="S3" s="21" t="s">
        <v>275</v>
      </c>
      <c r="T3" s="21" t="s">
        <v>22</v>
      </c>
    </row>
    <row r="4" spans="1:20" ht="21" customHeight="1" x14ac:dyDescent="0.25">
      <c r="A4" s="2"/>
      <c r="B4" s="2"/>
      <c r="C4" s="2"/>
      <c r="D4" s="23" t="s">
        <v>19</v>
      </c>
      <c r="E4" s="2"/>
      <c r="F4" s="2"/>
      <c r="G4" s="2"/>
      <c r="H4" s="2"/>
      <c r="I4" s="2"/>
      <c r="J4" s="2"/>
      <c r="K4" s="2"/>
      <c r="L4" s="2"/>
      <c r="M4" s="14">
        <v>4</v>
      </c>
      <c r="N4" s="14">
        <v>9</v>
      </c>
      <c r="O4" s="14">
        <v>27</v>
      </c>
      <c r="P4" s="14">
        <v>8</v>
      </c>
      <c r="Q4" s="14">
        <v>7</v>
      </c>
      <c r="R4" s="14" t="s">
        <v>292</v>
      </c>
      <c r="S4" s="22">
        <f>ROUND(SUM(M4:R4)/SUM(M5:R5)*100,2)</f>
        <v>79.709999999999994</v>
      </c>
      <c r="T4" s="22">
        <f>ROUND(S4/100 + 1,1)</f>
        <v>1.8</v>
      </c>
    </row>
    <row r="5" spans="1:20" ht="3" customHeight="1" x14ac:dyDescent="0.2">
      <c r="A5" s="2"/>
      <c r="B5" s="2"/>
      <c r="C5" s="2"/>
      <c r="D5" s="2"/>
      <c r="E5" s="2"/>
      <c r="F5" s="2"/>
      <c r="G5" s="2"/>
      <c r="H5" s="2"/>
      <c r="I5" s="2"/>
      <c r="J5" s="2"/>
      <c r="K5" s="2"/>
      <c r="L5" s="2"/>
      <c r="M5" s="9">
        <v>4</v>
      </c>
      <c r="N5" s="9">
        <v>10</v>
      </c>
      <c r="O5" s="9">
        <v>30</v>
      </c>
      <c r="P5" s="9">
        <v>10</v>
      </c>
      <c r="Q5" s="9">
        <v>15</v>
      </c>
      <c r="R5" s="9">
        <v>0</v>
      </c>
      <c r="S5" s="2">
        <f>SUM(M4:R4)/SUM(M5:R5)*100</f>
        <v>79.710144927536234</v>
      </c>
    </row>
    <row r="6" spans="1:20" s="2" customFormat="1" ht="21" customHeight="1" x14ac:dyDescent="0.2"/>
    <row r="7" spans="1:20" s="2" customFormat="1" ht="71.25" customHeight="1" x14ac:dyDescent="0.2">
      <c r="A7" s="28" t="s">
        <v>276</v>
      </c>
      <c r="B7" s="28"/>
      <c r="C7" s="28"/>
    </row>
    <row r="8" spans="1:20" s="2" customFormat="1" x14ac:dyDescent="0.2"/>
    <row r="9" spans="1:20" ht="15" customHeight="1" x14ac:dyDescent="0.2"/>
    <row r="14" spans="1:20" hidden="1" x14ac:dyDescent="0.2"/>
    <row r="15" spans="1:20" hidden="1" x14ac:dyDescent="0.2"/>
    <row r="16" spans="1:20" hidden="1" x14ac:dyDescent="0.2"/>
    <row r="17" spans="4:4" hidden="1" x14ac:dyDescent="0.2">
      <c r="D17" s="9">
        <v>0</v>
      </c>
    </row>
    <row r="18" spans="4:4" hidden="1" x14ac:dyDescent="0.2">
      <c r="D18" s="9">
        <v>1</v>
      </c>
    </row>
    <row r="19" spans="4:4" hidden="1" x14ac:dyDescent="0.2">
      <c r="D19" s="9">
        <v>2</v>
      </c>
    </row>
    <row r="20" spans="4:4" hidden="1" x14ac:dyDescent="0.2">
      <c r="D20" s="9">
        <v>3</v>
      </c>
    </row>
    <row r="21" spans="4:4" hidden="1" x14ac:dyDescent="0.2">
      <c r="D21" s="9">
        <v>4</v>
      </c>
    </row>
    <row r="22" spans="4:4" hidden="1" x14ac:dyDescent="0.2">
      <c r="D22" s="9">
        <v>5</v>
      </c>
    </row>
    <row r="23" spans="4:4" hidden="1" x14ac:dyDescent="0.2">
      <c r="D23" s="9">
        <v>6</v>
      </c>
    </row>
    <row r="24" spans="4:4" hidden="1" x14ac:dyDescent="0.2">
      <c r="D24" s="9">
        <v>7</v>
      </c>
    </row>
    <row r="25" spans="4:4" hidden="1" x14ac:dyDescent="0.2">
      <c r="D25" s="9">
        <v>8</v>
      </c>
    </row>
    <row r="26" spans="4:4" hidden="1" x14ac:dyDescent="0.2">
      <c r="D26" s="9">
        <v>9</v>
      </c>
    </row>
    <row r="27" spans="4:4" hidden="1" x14ac:dyDescent="0.2">
      <c r="D27" s="9">
        <v>10</v>
      </c>
    </row>
    <row r="28" spans="4:4" hidden="1" x14ac:dyDescent="0.2"/>
    <row r="29" spans="4:4" hidden="1" x14ac:dyDescent="0.2">
      <c r="D29" s="9" t="s">
        <v>292</v>
      </c>
    </row>
    <row r="30" spans="4:4" hidden="1" x14ac:dyDescent="0.2">
      <c r="D30" s="9" t="s">
        <v>289</v>
      </c>
    </row>
    <row r="31" spans="4:4" hidden="1" x14ac:dyDescent="0.2">
      <c r="D31" s="9" t="s">
        <v>290</v>
      </c>
    </row>
    <row r="32" spans="4:4" hidden="1" x14ac:dyDescent="0.2">
      <c r="D32" s="9" t="s">
        <v>291</v>
      </c>
    </row>
    <row r="33" hidden="1" x14ac:dyDescent="0.2"/>
    <row r="34" hidden="1" x14ac:dyDescent="0.2"/>
  </sheetData>
  <sheetProtection formatColumns="0"/>
  <protectedRanges>
    <protectedRange algorithmName="SHA-512" hashValue="SAtVKQIcCqzddmh9NOyFNTHD+kySrn0DQg20LKOCEmEf6ctl9ZNz2W+9XVP8ccaO7YyEDVRTIaLU9R1p24cgYw==" saltValue="cpJGfNzFQkPvbgKENu/ulQ==" spinCount="100000" sqref="D6" name="g3_pwd"/>
    <protectedRange algorithmName="SHA-512" hashValue="1aU0t03cYt5RCHTjA4IftoQpyDibJEWhMBhOYw71wxduYtlsxMBeSiouIlt7gzsdAAXUR9sJcQN+ITXT/HWWPA==" saltValue="LZa8XcomXv7+gwzpvPJNvQ==" spinCount="100000" sqref="D5" name="g2_pwd"/>
    <protectedRange algorithmName="SHA-512" hashValue="hXMely7Hx+GEg+j/OrNiRVw4HVtRQwRZ4k6X5P8nczmH8hn7shSKy+u30/92EwEjUN1VK2KGuZFeUF5GlvjuMA==" saltValue="7Kfi9tQJ5SDa4UnMvQYJ0g==" spinCount="100000" sqref="D3 F3 H3 J3 L3" name="g1_pwd"/>
    <protectedRange algorithmName="SHA-512" hashValue="iYVTVwiUK8lQ4d5Z0x9ZEki24XMxu1O6kMDlDDeqXatig0GyXynwMeUhwUNKYrV3nomPpjAvlQecYsGBT5UlyA==" saltValue="wDjM20pvMjQt/eTNUK1Igw==" spinCount="100000" sqref="D7" name="g4_pwd"/>
    <protectedRange algorithmName="SHA-512" hashValue="kWCnLqH0ejtn8NQ+lHI0gK0Z5irWac4zgzJys3XSiarv3pZO49Fw9HY3TQ8T7HFQwycGA1aYtkkrKX5r++aA3A==" saltValue="oKfWPlsALtB19iiTO5Va5w==" spinCount="100000" sqref="D8" name="g5_pwd"/>
    <protectedRange algorithmName="SHA-512" hashValue="xWx4UTrxepojDnrmQuK3lXDI03m8IRdLQCDDmCRVc4fySAeZcef/KwjvAMR1xErAu4b/X2c7ZEc1g2vSfCccCQ==" saltValue="O1x1XPzZiQNLu3hwtNjjCA==" spinCount="100000" sqref="D9" name="g6_pwd"/>
  </protectedRanges>
  <mergeCells count="3">
    <mergeCell ref="P2:Q2"/>
    <mergeCell ref="S2:T2"/>
    <mergeCell ref="A7:C7"/>
  </mergeCells>
  <dataValidations count="7">
    <dataValidation type="list" allowBlank="1" showInputMessage="1" showErrorMessage="1" sqref="L3 D3 F3 H3 J3 D9" xr:uid="{00000000-0002-0000-0100-000000000000}">
      <formula1>"Yes,No"</formula1>
    </dataValidation>
    <dataValidation type="whole" allowBlank="1" showInputMessage="1" showErrorMessage="1" sqref="P4" xr:uid="{00000000-0002-0000-0100-000001000000}">
      <formula1>0</formula1>
      <formula2>10</formula2>
    </dataValidation>
    <dataValidation type="list" allowBlank="1" showInputMessage="1" showErrorMessage="1" sqref="N4" xr:uid="{00000000-0002-0000-0100-000002000000}">
      <formula1>$D$17:$D$27</formula1>
    </dataValidation>
    <dataValidation type="list" allowBlank="1" showInputMessage="1" showErrorMessage="1" sqref="R4" xr:uid="{00000000-0002-0000-0100-000003000000}">
      <formula1>$D$29:$D$32</formula1>
    </dataValidation>
    <dataValidation type="list" allowBlank="1" showInputMessage="1" showErrorMessage="1" sqref="M4" xr:uid="{00000000-0002-0000-0100-000004000000}">
      <formula1>$D$17:$D$21</formula1>
    </dataValidation>
    <dataValidation type="whole" allowBlank="1" showInputMessage="1" showErrorMessage="1" sqref="O4" xr:uid="{00000000-0002-0000-0100-000005000000}">
      <formula1>0</formula1>
      <formula2>30</formula2>
    </dataValidation>
    <dataValidation type="whole" allowBlank="1" showInputMessage="1" showErrorMessage="1" sqref="Q4" xr:uid="{00000000-0002-0000-0100-000006000000}">
      <formula1>0</formula1>
      <formula2>15</formula2>
    </dataValidation>
  </dataValidations>
  <pageMargins left="0.7" right="0.7" top="0.75" bottom="0.75" header="0.3" footer="0.3"/>
  <pageSetup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promptTitle="Your Group" prompt="Select your group number" xr:uid="{00000000-0002-0000-0100-000007000000}">
          <x14:formula1>
            <xm:f>users!$E$2:$E$100</xm:f>
          </x14:formula1>
          <xm:sqref>A3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users</vt:lpstr>
      <vt:lpstr>PeerMarking</vt:lpstr>
    </vt:vector>
  </TitlesOfParts>
  <Company>UWO CSD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K. Reid</dc:creator>
  <cp:lastModifiedBy>Microsoft Office User</cp:lastModifiedBy>
  <dcterms:created xsi:type="dcterms:W3CDTF">2020-08-07T15:28:55Z</dcterms:created>
  <dcterms:modified xsi:type="dcterms:W3CDTF">2020-10-06T16:53:02Z</dcterms:modified>
</cp:coreProperties>
</file>